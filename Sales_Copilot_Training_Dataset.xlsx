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ustomer Profiles" sheetId="2" state="visible" r:id="rId4"/>
    <sheet name="Lead Pipeline" sheetId="3" state="visible" r:id="rId5"/>
    <sheet name="Proposal Tracker" sheetId="4" state="visible" r:id="rId6"/>
    <sheet name="Communication Log" sheetId="5" state="visible" r:id="rId7"/>
    <sheet name="Sales Performanc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<sst xmlns="http://schemas.openxmlformats.org/spreadsheetml/2006/main" count="691" uniqueCount="401">
  <si>
    <t xml:space="preserve">BFL Sales Team — M365 Copilot Training Dataset</t>
  </si>
  <si>
    <t xml:space="preserve">Bajaj Finance Limited | FY 2026-27 (Apr–May 2026) | Fictional training data — for demo use only</t>
  </si>
  <si>
    <t xml:space="preserve">Sheet Map — Use Case to Data</t>
  </si>
  <si>
    <t xml:space="preserve">Sheet</t>
  </si>
  <si>
    <t xml:space="preserve">Use Case</t>
  </si>
  <si>
    <t xml:space="preserve">What it contains</t>
  </si>
  <si>
    <t xml:space="preserve">Customer Profiles</t>
  </si>
  <si>
    <t xml:space="preserve">Customer Profile Analysis</t>
  </si>
  <si>
    <t xml:space="preserve">Customer background, products held, income, credit score, cross-sell potential</t>
  </si>
  <si>
    <t xml:space="preserve">Lead Pipeline</t>
  </si>
  <si>
    <t xml:space="preserve">Lead Prioritization</t>
  </si>
  <si>
    <t xml:space="preserve">Active leads with score, source, stage, value and assigned RM</t>
  </si>
  <si>
    <t xml:space="preserve">Proposal Tracker</t>
  </si>
  <si>
    <t xml:space="preserve">Sales Proposal Preparation</t>
  </si>
  <si>
    <t xml:space="preserve">Proposals in progress — product, value, pricing, stage, decision dates</t>
  </si>
  <si>
    <t xml:space="preserve">Communication Log</t>
  </si>
  <si>
    <t xml:space="preserve">Customer Communication</t>
  </si>
  <si>
    <t xml:space="preserve">Follow-ups, pending actions, response status per customer</t>
  </si>
  <si>
    <t xml:space="preserve">Sales Performance</t>
  </si>
  <si>
    <t xml:space="preserve">Sales Reporting</t>
  </si>
  <si>
    <t xml:space="preserve">RM-wise targets vs achievement, conversions, region and product mix</t>
  </si>
  <si>
    <t xml:space="preserve">How to use in the session:</t>
  </si>
  <si>
    <t xml:space="preserve">1. Paste the Meta Prompt from the guide into Copilot Chat to generate a Working Prompt.</t>
  </si>
  <si>
    <t xml:space="preserve">2. Attach this file in Copilot Chat using "/" and run the Working Prompt.</t>
  </si>
  <si>
    <t xml:space="preserve">3. Refine the output with follow-up prompts (change format, audience, or tone).</t>
  </si>
  <si>
    <t xml:space="preserve">Customer ID</t>
  </si>
  <si>
    <t xml:space="preserve">Customer Name</t>
  </si>
  <si>
    <t xml:space="preserve">Age</t>
  </si>
  <si>
    <t xml:space="preserve">City</t>
  </si>
  <si>
    <t xml:space="preserve">Occupation</t>
  </si>
  <si>
    <t xml:space="preserve">Segment</t>
  </si>
  <si>
    <t xml:space="preserve">Annual Income (₹ Lakh)</t>
  </si>
  <si>
    <t xml:space="preserve">Products Held</t>
  </si>
  <si>
    <t xml:space="preserve">Relationship Tenure (Yrs)</t>
  </si>
  <si>
    <t xml:space="preserve">Credit Score</t>
  </si>
  <si>
    <t xml:space="preserve">Avg Monthly Balance (₹)</t>
  </si>
  <si>
    <t xml:space="preserve">Last Interaction</t>
  </si>
  <si>
    <t xml:space="preserve">Cross-Sell Potential</t>
  </si>
  <si>
    <t xml:space="preserve">Remarks</t>
  </si>
  <si>
    <t xml:space="preserve">BFL-C-1001</t>
  </si>
  <si>
    <t xml:space="preserve">Ramesh Khandelwal</t>
  </si>
  <si>
    <t xml:space="preserve">Pune</t>
  </si>
  <si>
    <t xml:space="preserve">Textile Trader</t>
  </si>
  <si>
    <t xml:space="preserve">Self-Employed</t>
  </si>
  <si>
    <t xml:space="preserve">Business Loan, Insta EMI Card</t>
  </si>
  <si>
    <t xml:space="preserve">18-May-2026</t>
  </si>
  <si>
    <t xml:space="preserve">High</t>
  </si>
  <si>
    <t xml:space="preserve">Expanding to second unit; working capital need likely in Q2</t>
  </si>
  <si>
    <t xml:space="preserve">BFL-C-1002</t>
  </si>
  <si>
    <t xml:space="preserve">Sunita Agarwal</t>
  </si>
  <si>
    <t xml:space="preserve">Mumbai</t>
  </si>
  <si>
    <t xml:space="preserve">IT Manager</t>
  </si>
  <si>
    <t xml:space="preserve">Salaried</t>
  </si>
  <si>
    <t xml:space="preserve">Personal Loan</t>
  </si>
  <si>
    <t xml:space="preserve">22-May-2026</t>
  </si>
  <si>
    <t xml:space="preserve">PL closing in Aug-26; eligible for top-up and FD</t>
  </si>
  <si>
    <t xml:space="preserve">BFL-C-1003</t>
  </si>
  <si>
    <t xml:space="preserve">Vikram Bhosale</t>
  </si>
  <si>
    <t xml:space="preserve">Nashik</t>
  </si>
  <si>
    <t xml:space="preserve">Pharma Distributor</t>
  </si>
  <si>
    <t xml:space="preserve">SME</t>
  </si>
  <si>
    <t xml:space="preserve">Loan Against Property, FD</t>
  </si>
  <si>
    <t xml:space="preserve">05-May-2026</t>
  </si>
  <si>
    <t xml:space="preserve">Medium</t>
  </si>
  <si>
    <t xml:space="preserve">LAP renewal due Mar-27; interested in insurance for godown</t>
  </si>
  <si>
    <t xml:space="preserve">BFL-C-1004</t>
  </si>
  <si>
    <t xml:space="preserve">Neha Kulkarni</t>
  </si>
  <si>
    <t xml:space="preserve">Chartered Accountant</t>
  </si>
  <si>
    <t xml:space="preserve">Professional</t>
  </si>
  <si>
    <t xml:space="preserve">Insta EMI Card</t>
  </si>
  <si>
    <t xml:space="preserve">27-May-2026</t>
  </si>
  <si>
    <t xml:space="preserve">Eligible for Professional Loan; recently set up own practice</t>
  </si>
  <si>
    <t xml:space="preserve">BFL-C-1005</t>
  </si>
  <si>
    <t xml:space="preserve">Abdul Sheikh</t>
  </si>
  <si>
    <t xml:space="preserve">Aurangabad</t>
  </si>
  <si>
    <t xml:space="preserve">Auto Parts Dealer</t>
  </si>
  <si>
    <t xml:space="preserve">Business Loan, Gold Loan</t>
  </si>
  <si>
    <t xml:space="preserve">12-Apr-2026</t>
  </si>
  <si>
    <t xml:space="preserve">Gold loan maturing Jun-26; seasonal cash-flow dips in monsoon</t>
  </si>
  <si>
    <t xml:space="preserve">BFL-C-1006</t>
  </si>
  <si>
    <t xml:space="preserve">Priya Deshpande</t>
  </si>
  <si>
    <t xml:space="preserve">Nagpur</t>
  </si>
  <si>
    <t xml:space="preserve">School Owner</t>
  </si>
  <si>
    <t xml:space="preserve">FD</t>
  </si>
  <si>
    <t xml:space="preserve">30-Apr-2026</t>
  </si>
  <si>
    <t xml:space="preserve">Planning school expansion; no active loan — strong LAP prospect</t>
  </si>
  <si>
    <t xml:space="preserve">BFL-C-1007</t>
  </si>
  <si>
    <t xml:space="preserve">Rajiv Malhotra</t>
  </si>
  <si>
    <t xml:space="preserve">Retired (Pension)</t>
  </si>
  <si>
    <t xml:space="preserve">Pensioner</t>
  </si>
  <si>
    <t xml:space="preserve">FD, Insurance</t>
  </si>
  <si>
    <t xml:space="preserve">08-May-2026</t>
  </si>
  <si>
    <t xml:space="preserve">Low</t>
  </si>
  <si>
    <t xml:space="preserve">Conservative profile; prefers FD renewals only</t>
  </si>
  <si>
    <t xml:space="preserve">BFL-C-1008</t>
  </si>
  <si>
    <t xml:space="preserve">Kavita Reddy</t>
  </si>
  <si>
    <t xml:space="preserve">Hyderabad</t>
  </si>
  <si>
    <t xml:space="preserve">Marketing Lead</t>
  </si>
  <si>
    <t xml:space="preserve">Two-Wheeler Loan</t>
  </si>
  <si>
    <t xml:space="preserve">20-May-2026</t>
  </si>
  <si>
    <t xml:space="preserve">TW loan ends Dec-26; browsing PL offers on app</t>
  </si>
  <si>
    <t xml:space="preserve">BFL-C-1009</t>
  </si>
  <si>
    <t xml:space="preserve">Sandeep Joshi</t>
  </si>
  <si>
    <t xml:space="preserve">Restaurant Owner</t>
  </si>
  <si>
    <t xml:space="preserve">Business Loan</t>
  </si>
  <si>
    <t xml:space="preserve">15-Apr-2026</t>
  </si>
  <si>
    <t xml:space="preserve">Two EMI delays in FY26; monitor before fresh exposure</t>
  </si>
  <si>
    <t xml:space="preserve">BFL-C-1010</t>
  </si>
  <si>
    <t xml:space="preserve">Meera Iyer</t>
  </si>
  <si>
    <t xml:space="preserve">Bengaluru</t>
  </si>
  <si>
    <t xml:space="preserve">Doctor (MBBS)</t>
  </si>
  <si>
    <t xml:space="preserve">None</t>
  </si>
  <si>
    <t xml:space="preserve">25-May-2026</t>
  </si>
  <si>
    <t xml:space="preserve">New-to-BFL lead converted from health camp; Doctor Loan fit</t>
  </si>
  <si>
    <t xml:space="preserve">BFL-C-1011</t>
  </si>
  <si>
    <t xml:space="preserve">Harpreet Singh</t>
  </si>
  <si>
    <t xml:space="preserve">Delhi</t>
  </si>
  <si>
    <t xml:space="preserve">Logistics Contractor</t>
  </si>
  <si>
    <t xml:space="preserve">Business Loan, Insta EMI Card, Insurance</t>
  </si>
  <si>
    <t xml:space="preserve">02-May-2026</t>
  </si>
  <si>
    <t xml:space="preserve">Fleet expansion planned; asked about used-vehicle finance</t>
  </si>
  <si>
    <t xml:space="preserve">BFL-C-1012</t>
  </si>
  <si>
    <t xml:space="preserve">Anjali Pawar</t>
  </si>
  <si>
    <t xml:space="preserve">Software Engineer</t>
  </si>
  <si>
    <t xml:space="preserve">29-May-2026</t>
  </si>
  <si>
    <t xml:space="preserve">Salary credit grew 22% YoY; PL pre-approved offer live</t>
  </si>
  <si>
    <t xml:space="preserve">BFL-C-1013</t>
  </si>
  <si>
    <t xml:space="preserve">Mohan Patil</t>
  </si>
  <si>
    <t xml:space="preserve">Kolhapur</t>
  </si>
  <si>
    <t xml:space="preserve">Sugarcane Farmer + Trader</t>
  </si>
  <si>
    <t xml:space="preserve">Gold Loan</t>
  </si>
  <si>
    <t xml:space="preserve">10-Apr-2026</t>
  </si>
  <si>
    <t xml:space="preserve">Irregular income pattern; gold loan repeat customer</t>
  </si>
  <si>
    <t xml:space="preserve">BFL-C-1014</t>
  </si>
  <si>
    <t xml:space="preserve">Farida Khan</t>
  </si>
  <si>
    <t xml:space="preserve">Boutique Owner</t>
  </si>
  <si>
    <t xml:space="preserve">Personal Loan, Insta EMI Card</t>
  </si>
  <si>
    <t xml:space="preserve">19-May-2026</t>
  </si>
  <si>
    <t xml:space="preserve">Festive season stock funding need expected Aug-Sep</t>
  </si>
  <si>
    <t xml:space="preserve">BFL-C-1015</t>
  </si>
  <si>
    <t xml:space="preserve">Arvind Menon</t>
  </si>
  <si>
    <t xml:space="preserve">Chennai</t>
  </si>
  <si>
    <t xml:space="preserve">Export Manager</t>
  </si>
  <si>
    <t xml:space="preserve">06-May-2026</t>
  </si>
  <si>
    <t xml:space="preserve">Large idle balance; FD laddering + insurance opportunity</t>
  </si>
  <si>
    <t xml:space="preserve">Lead ID</t>
  </si>
  <si>
    <t xml:space="preserve">Lead Name</t>
  </si>
  <si>
    <t xml:space="preserve">Source</t>
  </si>
  <si>
    <t xml:space="preserve">Product Interest</t>
  </si>
  <si>
    <t xml:space="preserve">Requested Amount (₹ Lakh)</t>
  </si>
  <si>
    <t xml:space="preserve">Lead Score (0-100)</t>
  </si>
  <si>
    <t xml:space="preserve">Stage</t>
  </si>
  <si>
    <t xml:space="preserve">Assigned RM</t>
  </si>
  <si>
    <t xml:space="preserve">Days in Pipeline</t>
  </si>
  <si>
    <t xml:space="preserve">Expected Close</t>
  </si>
  <si>
    <t xml:space="preserve">Priority</t>
  </si>
  <si>
    <t xml:space="preserve">Next Step</t>
  </si>
  <si>
    <t xml:space="preserve">LD-2601</t>
  </si>
  <si>
    <t xml:space="preserve">Suresh Enterprises</t>
  </si>
  <si>
    <t xml:space="preserve">Channel Partner</t>
  </si>
  <si>
    <t xml:space="preserve">Documentation</t>
  </si>
  <si>
    <t xml:space="preserve">Sneha Kulkarni</t>
  </si>
  <si>
    <t xml:space="preserve">20-Jun-2026</t>
  </si>
  <si>
    <t xml:space="preserve">Hot</t>
  </si>
  <si>
    <t xml:space="preserve">Collect GST returns and bank statements</t>
  </si>
  <si>
    <t xml:space="preserve">LD-2602</t>
  </si>
  <si>
    <t xml:space="preserve">Anita Sharma</t>
  </si>
  <si>
    <t xml:space="preserve">Website Enquiry</t>
  </si>
  <si>
    <t xml:space="preserve">Qualified</t>
  </si>
  <si>
    <t xml:space="preserve">Amit Verma</t>
  </si>
  <si>
    <t xml:space="preserve">25-Jun-2026</t>
  </si>
  <si>
    <t xml:space="preserve">Warm</t>
  </si>
  <si>
    <t xml:space="preserve">Share pre-approved offer and rate sheet</t>
  </si>
  <si>
    <t xml:space="preserve">LD-2603</t>
  </si>
  <si>
    <t xml:space="preserve">Govind Traders</t>
  </si>
  <si>
    <t xml:space="preserve">Branch Walk-in</t>
  </si>
  <si>
    <t xml:space="preserve">Loan Against Property</t>
  </si>
  <si>
    <t xml:space="preserve">Credit Review</t>
  </si>
  <si>
    <t xml:space="preserve">Rahul Jadhav</t>
  </si>
  <si>
    <t xml:space="preserve">15-Jul-2026</t>
  </si>
  <si>
    <t xml:space="preserve">Property valuation report awaited</t>
  </si>
  <si>
    <t xml:space="preserve">LD-2604</t>
  </si>
  <si>
    <t xml:space="preserve">Dr. Seema Naik</t>
  </si>
  <si>
    <t xml:space="preserve">Health Camp</t>
  </si>
  <si>
    <t xml:space="preserve">Doctor Loan</t>
  </si>
  <si>
    <t xml:space="preserve">Proposal Sent</t>
  </si>
  <si>
    <t xml:space="preserve">Pooja Iyer</t>
  </si>
  <si>
    <t xml:space="preserve">18-Jun-2026</t>
  </si>
  <si>
    <t xml:space="preserve">Follow up on proposal; clinic visit scheduled</t>
  </si>
  <si>
    <t xml:space="preserve">LD-2605</t>
  </si>
  <si>
    <t xml:space="preserve">Rakesh Kumar</t>
  </si>
  <si>
    <t xml:space="preserve">App Lead</t>
  </si>
  <si>
    <t xml:space="preserve">New</t>
  </si>
  <si>
    <t xml:space="preserve">30-Jun-2026</t>
  </si>
  <si>
    <t xml:space="preserve">Cold</t>
  </si>
  <si>
    <t xml:space="preserve">First contact call pending</t>
  </si>
  <si>
    <t xml:space="preserve">LD-2606</t>
  </si>
  <si>
    <t xml:space="preserve">Shree Ganesh Sweets</t>
  </si>
  <si>
    <t xml:space="preserve">Referral</t>
  </si>
  <si>
    <t xml:space="preserve">Kavita Menon</t>
  </si>
  <si>
    <t xml:space="preserve">28-Jun-2026</t>
  </si>
  <si>
    <t xml:space="preserve">Verify shop ownership documents</t>
  </si>
  <si>
    <t xml:space="preserve">LD-2607</t>
  </si>
  <si>
    <t xml:space="preserve">Lakshmi Textiles</t>
  </si>
  <si>
    <t xml:space="preserve">Surat</t>
  </si>
  <si>
    <t xml:space="preserve">Working Capital Loan</t>
  </si>
  <si>
    <t xml:space="preserve">05-Jul-2026</t>
  </si>
  <si>
    <t xml:space="preserve">Pending: audited financials FY25-26</t>
  </si>
  <si>
    <t xml:space="preserve">LD-2608</t>
  </si>
  <si>
    <t xml:space="preserve">Imran Qureshi</t>
  </si>
  <si>
    <t xml:space="preserve">Contacted</t>
  </si>
  <si>
    <t xml:space="preserve">22-Jun-2026</t>
  </si>
  <si>
    <t xml:space="preserve">Customer comparing rates with local NBFC</t>
  </si>
  <si>
    <t xml:space="preserve">LD-2609</t>
  </si>
  <si>
    <t xml:space="preserve">Pinnacle Interiors</t>
  </si>
  <si>
    <t xml:space="preserve">LinkedIn Campaign</t>
  </si>
  <si>
    <t xml:space="preserve">08-Jul-2026</t>
  </si>
  <si>
    <t xml:space="preserve">Site visit done; awaiting ITR documents</t>
  </si>
  <si>
    <t xml:space="preserve">LD-2610</t>
  </si>
  <si>
    <t xml:space="preserve">Vaishali Joshi</t>
  </si>
  <si>
    <t xml:space="preserve">Existing Customer Referral</t>
  </si>
  <si>
    <t xml:space="preserve">19-Jun-2026</t>
  </si>
  <si>
    <t xml:space="preserve">Negotiating processing fee waiver</t>
  </si>
  <si>
    <t xml:space="preserve">LD-2611</t>
  </si>
  <si>
    <t xml:space="preserve">Sai Motors</t>
  </si>
  <si>
    <t xml:space="preserve">Used Car Finance</t>
  </si>
  <si>
    <t xml:space="preserve">12-Jul-2026</t>
  </si>
  <si>
    <t xml:space="preserve">Initial eligibility check pending</t>
  </si>
  <si>
    <t xml:space="preserve">LD-2612</t>
  </si>
  <si>
    <t xml:space="preserve">Deepak Rathi</t>
  </si>
  <si>
    <t xml:space="preserve">Fixed Deposit</t>
  </si>
  <si>
    <t xml:space="preserve">24-Jun-2026</t>
  </si>
  <si>
    <t xml:space="preserve">Shared FD rate card; deciding tenure</t>
  </si>
  <si>
    <t xml:space="preserve">LD-2613</t>
  </si>
  <si>
    <t xml:space="preserve">Crown Hospitality</t>
  </si>
  <si>
    <t xml:space="preserve">20-Jul-2026</t>
  </si>
  <si>
    <t xml:space="preserve">Legal title search in progress</t>
  </si>
  <si>
    <t xml:space="preserve">LD-2614</t>
  </si>
  <si>
    <t xml:space="preserve">Nilesh Gupta</t>
  </si>
  <si>
    <t xml:space="preserve">15-Jun-2026</t>
  </si>
  <si>
    <t xml:space="preserve">Auto-journey drop-off; needs assisted onboarding</t>
  </si>
  <si>
    <t xml:space="preserve">LD-2615</t>
  </si>
  <si>
    <t xml:space="preserve">Sterling Pharma</t>
  </si>
  <si>
    <t xml:space="preserve">02-Jul-2026</t>
  </si>
  <si>
    <t xml:space="preserve">CFO requested revised ROI; approval matrix check</t>
  </si>
  <si>
    <t xml:space="preserve">Proposal ID</t>
  </si>
  <si>
    <t xml:space="preserve">Customer / Lead</t>
  </si>
  <si>
    <t xml:space="preserve">Product</t>
  </si>
  <si>
    <t xml:space="preserve">Proposed Amount (₹ Lakh)</t>
  </si>
  <si>
    <t xml:space="preserve">Offered ROI (%)</t>
  </si>
  <si>
    <t xml:space="preserve">Tenure (Months)</t>
  </si>
  <si>
    <t xml:space="preserve">Processing Fee (%)</t>
  </si>
  <si>
    <t xml:space="preserve">Submitted On</t>
  </si>
  <si>
    <t xml:space="preserve">Decision Due</t>
  </si>
  <si>
    <t xml:space="preserve">RM</t>
  </si>
  <si>
    <t xml:space="preserve">Status</t>
  </si>
  <si>
    <t xml:space="preserve">Key Notes</t>
  </si>
  <si>
    <t xml:space="preserve">PRP-101</t>
  </si>
  <si>
    <t xml:space="preserve">28-May-2026</t>
  </si>
  <si>
    <t xml:space="preserve">12-Jun-2026</t>
  </si>
  <si>
    <t xml:space="preserve">Customer Review</t>
  </si>
  <si>
    <t xml:space="preserve">Open</t>
  </si>
  <si>
    <t xml:space="preserve">Competitor quoted 13.9%; flexi-loan feature is differentiator</t>
  </si>
  <si>
    <t xml:space="preserve">PRP-102</t>
  </si>
  <si>
    <t xml:space="preserve">30-May-2026</t>
  </si>
  <si>
    <t xml:space="preserve">14-Jun-2026</t>
  </si>
  <si>
    <t xml:space="preserve">Requested EMI holiday for first 3 months</t>
  </si>
  <si>
    <t xml:space="preserve">PRP-103</t>
  </si>
  <si>
    <t xml:space="preserve">02-Jun-2026</t>
  </si>
  <si>
    <t xml:space="preserve">10-Jun-2026</t>
  </si>
  <si>
    <t xml:space="preserve">Negotiation</t>
  </si>
  <si>
    <t xml:space="preserve">Asked for processing fee waiver; within RM discretion limit</t>
  </si>
  <si>
    <t xml:space="preserve">PRP-104</t>
  </si>
  <si>
    <t xml:space="preserve">08-Jun-2026</t>
  </si>
  <si>
    <t xml:space="preserve">Revised Proposal</t>
  </si>
  <si>
    <t xml:space="preserve">CFO wants 13.5%; needs Regional Head approval</t>
  </si>
  <si>
    <t xml:space="preserve">PRP-105</t>
  </si>
  <si>
    <t xml:space="preserve">Credit Approval</t>
  </si>
  <si>
    <t xml:space="preserve">Valuation came 8% below expectation; amount revised from 120</t>
  </si>
  <si>
    <t xml:space="preserve">PRP-106</t>
  </si>
  <si>
    <t xml:space="preserve">Anand Constructions</t>
  </si>
  <si>
    <t xml:space="preserve">10-May-2026</t>
  </si>
  <si>
    <t xml:space="preserve">Closed</t>
  </si>
  <si>
    <t xml:space="preserve">Won</t>
  </si>
  <si>
    <t xml:space="preserve">Disbursed 22-May; cross-sell insurance pending</t>
  </si>
  <si>
    <t xml:space="preserve">PRP-107</t>
  </si>
  <si>
    <t xml:space="preserve">11-Jun-2026</t>
  </si>
  <si>
    <t xml:space="preserve">New-to-BFL; rate matched to HDFC offer</t>
  </si>
  <si>
    <t xml:space="preserve">PRP-108</t>
  </si>
  <si>
    <t xml:space="preserve">Kamal Jewellers</t>
  </si>
  <si>
    <t xml:space="preserve">15-May-2026</t>
  </si>
  <si>
    <t xml:space="preserve">Lost</t>
  </si>
  <si>
    <t xml:space="preserve">Local NBFC offered 11.25%; price-sensitive customer</t>
  </si>
  <si>
    <t xml:space="preserve">PRP-109</t>
  </si>
  <si>
    <t xml:space="preserve">01-Jun-2026</t>
  </si>
  <si>
    <t xml:space="preserve">Largest open deal in region; legal search underway</t>
  </si>
  <si>
    <t xml:space="preserve">PRP-110</t>
  </si>
  <si>
    <t xml:space="preserve">Personal Loan (Top-up)</t>
  </si>
  <si>
    <t xml:space="preserve">03-Jun-2026</t>
  </si>
  <si>
    <t xml:space="preserve">13-Jun-2026</t>
  </si>
  <si>
    <t xml:space="preserve">Sent</t>
  </si>
  <si>
    <t xml:space="preserve">Festive stock funding; existing PL track record clean</t>
  </si>
  <si>
    <t xml:space="preserve">PRP-111</t>
  </si>
  <si>
    <t xml:space="preserve">School expansion; wants moratorium until Sep-26</t>
  </si>
  <si>
    <t xml:space="preserve">PRP-112</t>
  </si>
  <si>
    <t xml:space="preserve">04-Jun-2026</t>
  </si>
  <si>
    <t xml:space="preserve">Awaiting customer sign-off on sanction terms</t>
  </si>
  <si>
    <t xml:space="preserve">Comm ID</t>
  </si>
  <si>
    <t xml:space="preserve">Channel</t>
  </si>
  <si>
    <t xml:space="preserve">Type</t>
  </si>
  <si>
    <t xml:space="preserve">Last Contact</t>
  </si>
  <si>
    <t xml:space="preserve">Next Action Due</t>
  </si>
  <si>
    <t xml:space="preserve">Response Status</t>
  </si>
  <si>
    <t xml:space="preserve">Days Since Last Contact</t>
  </si>
  <si>
    <t xml:space="preserve">Summary of Last Interaction</t>
  </si>
  <si>
    <t xml:space="preserve">CM-501</t>
  </si>
  <si>
    <t xml:space="preserve">Phone Call</t>
  </si>
  <si>
    <t xml:space="preserve">Proposal Follow-up</t>
  </si>
  <si>
    <t xml:space="preserve">06-Jun-2026</t>
  </si>
  <si>
    <t xml:space="preserve">Awaiting Response</t>
  </si>
  <si>
    <t xml:space="preserve">Discussed flexi-loan benefit; customer comparing with Tata Capital</t>
  </si>
  <si>
    <t xml:space="preserve">CM-502</t>
  </si>
  <si>
    <t xml:space="preserve">WhatsApp</t>
  </si>
  <si>
    <t xml:space="preserve">Offer Share</t>
  </si>
  <si>
    <t xml:space="preserve">05-Jun-2026</t>
  </si>
  <si>
    <t xml:space="preserve">09-Jun-2026</t>
  </si>
  <si>
    <t xml:space="preserve">Responded</t>
  </si>
  <si>
    <t xml:space="preserve">Shared pre-approved PL offer; asked about foreclosure charges</t>
  </si>
  <si>
    <t xml:space="preserve">CM-503</t>
  </si>
  <si>
    <t xml:space="preserve">Branch Meeting</t>
  </si>
  <si>
    <t xml:space="preserve">Document Collection</t>
  </si>
  <si>
    <t xml:space="preserve">Collected property papers; valuation visit fixed for 09-Jun</t>
  </si>
  <si>
    <t xml:space="preserve">CM-504</t>
  </si>
  <si>
    <t xml:space="preserve">Email</t>
  </si>
  <si>
    <t xml:space="preserve">No Response</t>
  </si>
  <si>
    <t xml:space="preserve">Sent revised EMI schedule with 3-month holiday option</t>
  </si>
  <si>
    <t xml:space="preserve">CM-505</t>
  </si>
  <si>
    <t xml:space="preserve">First Contact</t>
  </si>
  <si>
    <t xml:space="preserve">Two call attempts unanswered; try evening slot</t>
  </si>
  <si>
    <t xml:space="preserve">CM-506</t>
  </si>
  <si>
    <t xml:space="preserve">KYC Verification</t>
  </si>
  <si>
    <t xml:space="preserve">Shop act licence verified; GST certificate pending</t>
  </si>
  <si>
    <t xml:space="preserve">CM-507</t>
  </si>
  <si>
    <t xml:space="preserve">FD Renewal Reminder</t>
  </si>
  <si>
    <t xml:space="preserve">FD of ₹15L maturing 18-Jun; inclined to renew for 24 months</t>
  </si>
  <si>
    <t xml:space="preserve">CM-508</t>
  </si>
  <si>
    <t xml:space="preserve">Sent revised ROI 13.5% subject to approval; CFO to confirm</t>
  </si>
  <si>
    <t xml:space="preserve">CM-509</t>
  </si>
  <si>
    <t xml:space="preserve">Rate Negotiation</t>
  </si>
  <si>
    <t xml:space="preserve">Customer wants gold loan at 11.5%; offered 11.85% best rate</t>
  </si>
  <si>
    <t xml:space="preserve">CM-510</t>
  </si>
  <si>
    <t xml:space="preserve">Top-up Offer</t>
  </si>
  <si>
    <t xml:space="preserve">Interested in top-up after current PL closure in Aug</t>
  </si>
  <si>
    <t xml:space="preserve">CM-511</t>
  </si>
  <si>
    <t xml:space="preserve">Document Reminder</t>
  </si>
  <si>
    <t xml:space="preserve">Second reminder for ITR FY25 and FY26; escalate via partner</t>
  </si>
  <si>
    <t xml:space="preserve">CM-512</t>
  </si>
  <si>
    <t xml:space="preserve">Fee Negotiation</t>
  </si>
  <si>
    <t xml:space="preserve">Agreed to 50% PF waiver; sending updated sanction letter</t>
  </si>
  <si>
    <t xml:space="preserve">CM-513</t>
  </si>
  <si>
    <t xml:space="preserve">FD Rate Query</t>
  </si>
  <si>
    <t xml:space="preserve">Comparing 15-month special rate vs 24-month cumulative</t>
  </si>
  <si>
    <t xml:space="preserve">CM-514</t>
  </si>
  <si>
    <t xml:space="preserve">Legal Update</t>
  </si>
  <si>
    <t xml:space="preserve">Title search report expected by 17-Jun; customer informed</t>
  </si>
  <si>
    <t xml:space="preserve">CM-515</t>
  </si>
  <si>
    <t xml:space="preserve">SMS + Call</t>
  </si>
  <si>
    <t xml:space="preserve">Onboarding Assist</t>
  </si>
  <si>
    <t xml:space="preserve">EMI card journey drop-off; offer assisted KYC at branch</t>
  </si>
  <si>
    <t xml:space="preserve">Month</t>
  </si>
  <si>
    <t xml:space="preserve">RM Name</t>
  </si>
  <si>
    <t xml:space="preserve">Region</t>
  </si>
  <si>
    <t xml:space="preserve">Target (₹ Lakh)</t>
  </si>
  <si>
    <t xml:space="preserve">Achieved (₹ Lakh)</t>
  </si>
  <si>
    <t xml:space="preserve">Achievement %</t>
  </si>
  <si>
    <t xml:space="preserve">Leads Assigned</t>
  </si>
  <si>
    <t xml:space="preserve">Conversions</t>
  </si>
  <si>
    <t xml:space="preserve">Conversion %</t>
  </si>
  <si>
    <t xml:space="preserve">Avg Ticket Size (₹ Lakh)</t>
  </si>
  <si>
    <t xml:space="preserve">Apr-2026</t>
  </si>
  <si>
    <t xml:space="preserve">Pune West</t>
  </si>
  <si>
    <t xml:space="preserve">Strong channel partner sourcing in April</t>
  </si>
  <si>
    <t xml:space="preserve">Mumbai Central</t>
  </si>
  <si>
    <t xml:space="preserve">PL approvals slowed by bureau policy tightening</t>
  </si>
  <si>
    <t xml:space="preserve">Two large LAP deals slipped to May</t>
  </si>
  <si>
    <t xml:space="preserve">Pune East</t>
  </si>
  <si>
    <t xml:space="preserve">Doctor / Professional Loan</t>
  </si>
  <si>
    <t xml:space="preserve">Health camp campaign drove new doctor leads</t>
  </si>
  <si>
    <t xml:space="preserve">Sugar belt seasonality affected April numbers</t>
  </si>
  <si>
    <t xml:space="preserve">May-2026</t>
  </si>
  <si>
    <t xml:space="preserve">One ₹45L deal in customer review stage</t>
  </si>
  <si>
    <t xml:space="preserve">Pre-approved campaign lifted conversions</t>
  </si>
  <si>
    <t xml:space="preserve">Crown Hospitality deal will reflect in July</t>
  </si>
  <si>
    <t xml:space="preserve">EMI holiday requests delaying closures</t>
  </si>
  <si>
    <t xml:space="preserve">Festive advance bookings from sweet shops cluster</t>
  </si>
  <si>
    <t xml:space="preserve">Dealer tie-up at 2 new showrooms</t>
  </si>
  <si>
    <t xml:space="preserve">New EV models boosted showroom footfall</t>
  </si>
  <si>
    <t xml:space="preserve">FD special rate window closed mid-April</t>
  </si>
  <si>
    <t xml:space="preserve">Senior citizen rate hike campaign worked well</t>
  </si>
  <si>
    <t xml:space="preserve">App journey drop-offs remain high — assisted mode needed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</si>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</sst>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6100"/>
      <name val="Arial"/>
      <family val="0"/>
      <charset val="1"/>
    </font>
    <font>
      <sz val="10"/>
      <color rgb="FF9C6500"/>
      <name val="Arial"/>
      <family val="0"/>
      <charset val="1"/>
    </font>
    <font>
      <sz val="10"/>
      <color rgb="FF9C0006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3" min="3" style="0" width="8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</row>
    <row r="6" customFormat="false" ht="15" hidden="false" customHeight="false" outlineLevel="0" collapsed="false">
      <c r="A6" s="5" t="s">
        <v>6</v>
      </c>
      <c r="B6" s="5" t="s">
        <v>7</v>
      </c>
      <c r="C6" s="5" t="s">
        <v>8</v>
      </c>
    </row>
    <row r="7" customFormat="false" ht="15" hidden="false" customHeight="false" outlineLevel="0" collapsed="false">
      <c r="A7" s="5" t="s">
        <v>9</v>
      </c>
      <c r="B7" s="5" t="s">
        <v>10</v>
      </c>
      <c r="C7" s="5" t="s">
        <v>11</v>
      </c>
    </row>
    <row r="8" customFormat="false" ht="15" hidden="false" customHeight="false" outlineLevel="0" collapsed="false">
      <c r="A8" s="5" t="s">
        <v>12</v>
      </c>
      <c r="B8" s="5" t="s">
        <v>13</v>
      </c>
      <c r="C8" s="5" t="s">
        <v>14</v>
      </c>
    </row>
    <row r="9" customFormat="false" ht="15" hidden="false" customHeight="false" outlineLevel="0" collapsed="false">
      <c r="A9" s="5" t="s">
        <v>15</v>
      </c>
      <c r="B9" s="5" t="s">
        <v>16</v>
      </c>
      <c r="C9" s="5" t="s">
        <v>17</v>
      </c>
    </row>
    <row r="10" customFormat="false" ht="15" hidden="false" customHeight="false" outlineLevel="0" collapsed="false">
      <c r="A10" s="5" t="s">
        <v>18</v>
      </c>
      <c r="B10" s="5" t="s">
        <v>19</v>
      </c>
      <c r="C10" s="5" t="s">
        <v>20</v>
      </c>
    </row>
    <row r="12" customFormat="false" ht="15" hidden="false" customHeight="false" outlineLevel="0" collapsed="false">
      <c r="A12" s="3" t="s">
        <v>21</v>
      </c>
    </row>
    <row r="13" customFormat="false" ht="15" hidden="false" customHeight="false" outlineLevel="0" collapsed="false">
      <c r="A13" s="6" t="s">
        <v>22</v>
      </c>
    </row>
    <row r="14" customFormat="false" ht="15" hidden="false" customHeight="false" outlineLevel="0" collapsed="false">
      <c r="A14" s="6" t="s">
        <v>23</v>
      </c>
    </row>
    <row r="15" customFormat="false" ht="15" hidden="false" customHeight="false" outlineLevel="0" collapsed="false">
      <c r="A15" s="6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6"/>
    <col collapsed="false" customWidth="true" hidden="false" outlineLevel="0" max="4" min="4" style="0" width="12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34"/>
    <col collapsed="false" customWidth="true" hidden="false" outlineLevel="0" max="9" min="9" style="0" width="12"/>
    <col collapsed="false" customWidth="true" hidden="false" outlineLevel="0" max="10" min="10" style="0" width="9"/>
    <col collapsed="false" customWidth="true" hidden="false" outlineLevel="0" max="11" min="11" style="0" width="14"/>
    <col collapsed="false" customWidth="true" hidden="false" outlineLevel="0" max="12" min="12" style="0" width="13"/>
    <col collapsed="false" customWidth="true" hidden="false" outlineLevel="0" max="13" min="13" style="0" width="12"/>
    <col collapsed="false" customWidth="true" hidden="false" outlineLevel="0" max="14" min="14" style="0" width="58"/>
  </cols>
  <sheetData>
    <row r="1" customFormat="false" ht="35.05" hidden="false" customHeight="false" outlineLevel="0" collapsed="false">
      <c r="A1" s="7" t="s">
        <v>25</v>
      </c>
      <c r="B1" s="7" t="s">
        <v>26</v>
      </c>
      <c r="C1" s="7" t="s">
        <v>27</v>
      </c>
      <c r="D1" s="7" t="s">
        <v>28</v>
      </c>
      <c r="E1" s="7" t="s">
        <v>29</v>
      </c>
      <c r="F1" s="7" t="s">
        <v>30</v>
      </c>
      <c r="G1" s="7" t="s">
        <v>31</v>
      </c>
      <c r="H1" s="7" t="s">
        <v>32</v>
      </c>
      <c r="I1" s="7" t="s">
        <v>33</v>
      </c>
      <c r="J1" s="7" t="s">
        <v>34</v>
      </c>
      <c r="K1" s="7" t="s">
        <v>35</v>
      </c>
      <c r="L1" s="7" t="s">
        <v>36</v>
      </c>
      <c r="M1" s="7" t="s">
        <v>37</v>
      </c>
      <c r="N1" s="7" t="s">
        <v>38</v>
      </c>
    </row>
    <row r="2" customFormat="false" ht="15" hidden="false" customHeight="false" outlineLevel="0" collapsed="false">
      <c r="A2" s="5" t="s">
        <v>39</v>
      </c>
      <c r="B2" s="5" t="s">
        <v>40</v>
      </c>
      <c r="C2" s="5" t="n">
        <v>42</v>
      </c>
      <c r="D2" s="5" t="s">
        <v>41</v>
      </c>
      <c r="E2" s="5" t="s">
        <v>42</v>
      </c>
      <c r="F2" s="5" t="s">
        <v>43</v>
      </c>
      <c r="G2" s="5" t="n">
        <v>38</v>
      </c>
      <c r="H2" s="5" t="s">
        <v>44</v>
      </c>
      <c r="I2" s="5" t="n">
        <v>6</v>
      </c>
      <c r="J2" s="5" t="n">
        <v>768</v>
      </c>
      <c r="K2" s="5" t="n">
        <v>185000</v>
      </c>
      <c r="L2" s="5" t="s">
        <v>45</v>
      </c>
      <c r="M2" s="8" t="s">
        <v>46</v>
      </c>
      <c r="N2" s="5" t="s">
        <v>47</v>
      </c>
    </row>
    <row r="3" customFormat="false" ht="15" hidden="false" customHeight="false" outlineLevel="0" collapsed="false">
      <c r="A3" s="5" t="s">
        <v>48</v>
      </c>
      <c r="B3" s="5" t="s">
        <v>49</v>
      </c>
      <c r="C3" s="5" t="n">
        <v>35</v>
      </c>
      <c r="D3" s="5" t="s">
        <v>50</v>
      </c>
      <c r="E3" s="5" t="s">
        <v>51</v>
      </c>
      <c r="F3" s="5" t="s">
        <v>52</v>
      </c>
      <c r="G3" s="5" t="n">
        <v>24</v>
      </c>
      <c r="H3" s="5" t="s">
        <v>53</v>
      </c>
      <c r="I3" s="5" t="n">
        <v>3</v>
      </c>
      <c r="J3" s="5" t="n">
        <v>792</v>
      </c>
      <c r="K3" s="5" t="n">
        <v>92000</v>
      </c>
      <c r="L3" s="5" t="s">
        <v>54</v>
      </c>
      <c r="M3" s="8" t="s">
        <v>46</v>
      </c>
      <c r="N3" s="5" t="s">
        <v>55</v>
      </c>
    </row>
    <row r="4" customFormat="false" ht="15" hidden="false" customHeight="false" outlineLevel="0" collapsed="false">
      <c r="A4" s="5" t="s">
        <v>56</v>
      </c>
      <c r="B4" s="5" t="s">
        <v>57</v>
      </c>
      <c r="C4" s="5" t="n">
        <v>51</v>
      </c>
      <c r="D4" s="5" t="s">
        <v>58</v>
      </c>
      <c r="E4" s="5" t="s">
        <v>59</v>
      </c>
      <c r="F4" s="5" t="s">
        <v>60</v>
      </c>
      <c r="G4" s="5" t="n">
        <v>65</v>
      </c>
      <c r="H4" s="5" t="s">
        <v>61</v>
      </c>
      <c r="I4" s="5" t="n">
        <v>9</v>
      </c>
      <c r="J4" s="5" t="n">
        <v>745</v>
      </c>
      <c r="K4" s="5" t="n">
        <v>410000</v>
      </c>
      <c r="L4" s="5" t="s">
        <v>62</v>
      </c>
      <c r="M4" s="9" t="s">
        <v>63</v>
      </c>
      <c r="N4" s="5" t="s">
        <v>64</v>
      </c>
    </row>
    <row r="5" customFormat="false" ht="15" hidden="false" customHeight="false" outlineLevel="0" collapsed="false">
      <c r="A5" s="5" t="s">
        <v>65</v>
      </c>
      <c r="B5" s="5" t="s">
        <v>66</v>
      </c>
      <c r="C5" s="5" t="n">
        <v>29</v>
      </c>
      <c r="D5" s="5" t="s">
        <v>41</v>
      </c>
      <c r="E5" s="5" t="s">
        <v>67</v>
      </c>
      <c r="F5" s="5" t="s">
        <v>68</v>
      </c>
      <c r="G5" s="5" t="n">
        <v>18</v>
      </c>
      <c r="H5" s="5" t="s">
        <v>69</v>
      </c>
      <c r="I5" s="5" t="n">
        <v>2</v>
      </c>
      <c r="J5" s="5" t="n">
        <v>801</v>
      </c>
      <c r="K5" s="5" t="n">
        <v>64000</v>
      </c>
      <c r="L5" s="5" t="s">
        <v>70</v>
      </c>
      <c r="M5" s="8" t="s">
        <v>46</v>
      </c>
      <c r="N5" s="5" t="s">
        <v>71</v>
      </c>
    </row>
    <row r="6" customFormat="false" ht="15" hidden="false" customHeight="false" outlineLevel="0" collapsed="false">
      <c r="A6" s="5" t="s">
        <v>72</v>
      </c>
      <c r="B6" s="5" t="s">
        <v>73</v>
      </c>
      <c r="C6" s="5" t="n">
        <v>46</v>
      </c>
      <c r="D6" s="5" t="s">
        <v>74</v>
      </c>
      <c r="E6" s="5" t="s">
        <v>75</v>
      </c>
      <c r="F6" s="5" t="s">
        <v>60</v>
      </c>
      <c r="G6" s="5" t="n">
        <v>42</v>
      </c>
      <c r="H6" s="5" t="s">
        <v>76</v>
      </c>
      <c r="I6" s="5" t="n">
        <v>7</v>
      </c>
      <c r="J6" s="5" t="n">
        <v>718</v>
      </c>
      <c r="K6" s="5" t="n">
        <v>156000</v>
      </c>
      <c r="L6" s="5" t="s">
        <v>77</v>
      </c>
      <c r="M6" s="9" t="s">
        <v>63</v>
      </c>
      <c r="N6" s="5" t="s">
        <v>78</v>
      </c>
    </row>
    <row r="7" customFormat="false" ht="15" hidden="false" customHeight="false" outlineLevel="0" collapsed="false">
      <c r="A7" s="5" t="s">
        <v>79</v>
      </c>
      <c r="B7" s="5" t="s">
        <v>80</v>
      </c>
      <c r="C7" s="5" t="n">
        <v>38</v>
      </c>
      <c r="D7" s="5" t="s">
        <v>81</v>
      </c>
      <c r="E7" s="5" t="s">
        <v>82</v>
      </c>
      <c r="F7" s="5" t="s">
        <v>43</v>
      </c>
      <c r="G7" s="5" t="n">
        <v>30</v>
      </c>
      <c r="H7" s="5" t="s">
        <v>83</v>
      </c>
      <c r="I7" s="5" t="n">
        <v>4</v>
      </c>
      <c r="J7" s="5" t="n">
        <v>756</v>
      </c>
      <c r="K7" s="5" t="n">
        <v>228000</v>
      </c>
      <c r="L7" s="5" t="s">
        <v>84</v>
      </c>
      <c r="M7" s="8" t="s">
        <v>46</v>
      </c>
      <c r="N7" s="5" t="s">
        <v>85</v>
      </c>
    </row>
    <row r="8" customFormat="false" ht="15" hidden="false" customHeight="false" outlineLevel="0" collapsed="false">
      <c r="A8" s="5" t="s">
        <v>86</v>
      </c>
      <c r="B8" s="5" t="s">
        <v>87</v>
      </c>
      <c r="C8" s="5" t="n">
        <v>55</v>
      </c>
      <c r="D8" s="5" t="s">
        <v>50</v>
      </c>
      <c r="E8" s="5" t="s">
        <v>88</v>
      </c>
      <c r="F8" s="5" t="s">
        <v>89</v>
      </c>
      <c r="G8" s="5" t="n">
        <v>12</v>
      </c>
      <c r="H8" s="5" t="s">
        <v>90</v>
      </c>
      <c r="I8" s="5" t="n">
        <v>11</v>
      </c>
      <c r="J8" s="5" t="n">
        <v>775</v>
      </c>
      <c r="K8" s="5" t="n">
        <v>310000</v>
      </c>
      <c r="L8" s="5" t="s">
        <v>91</v>
      </c>
      <c r="M8" s="10" t="s">
        <v>92</v>
      </c>
      <c r="N8" s="5" t="s">
        <v>93</v>
      </c>
    </row>
    <row r="9" customFormat="false" ht="15" hidden="false" customHeight="false" outlineLevel="0" collapsed="false">
      <c r="A9" s="5" t="s">
        <v>94</v>
      </c>
      <c r="B9" s="5" t="s">
        <v>95</v>
      </c>
      <c r="C9" s="5" t="n">
        <v>33</v>
      </c>
      <c r="D9" s="5" t="s">
        <v>96</v>
      </c>
      <c r="E9" s="5" t="s">
        <v>97</v>
      </c>
      <c r="F9" s="5" t="s">
        <v>52</v>
      </c>
      <c r="G9" s="5" t="n">
        <v>21</v>
      </c>
      <c r="H9" s="5" t="s">
        <v>98</v>
      </c>
      <c r="I9" s="5" t="n">
        <v>2</v>
      </c>
      <c r="J9" s="5" t="n">
        <v>783</v>
      </c>
      <c r="K9" s="5" t="n">
        <v>71000</v>
      </c>
      <c r="L9" s="5" t="s">
        <v>99</v>
      </c>
      <c r="M9" s="9" t="s">
        <v>63</v>
      </c>
      <c r="N9" s="5" t="s">
        <v>100</v>
      </c>
    </row>
    <row r="10" customFormat="false" ht="15" hidden="false" customHeight="false" outlineLevel="0" collapsed="false">
      <c r="A10" s="5" t="s">
        <v>101</v>
      </c>
      <c r="B10" s="5" t="s">
        <v>102</v>
      </c>
      <c r="C10" s="5" t="n">
        <v>44</v>
      </c>
      <c r="D10" s="5" t="s">
        <v>41</v>
      </c>
      <c r="E10" s="5" t="s">
        <v>103</v>
      </c>
      <c r="F10" s="5" t="s">
        <v>43</v>
      </c>
      <c r="G10" s="5" t="n">
        <v>27</v>
      </c>
      <c r="H10" s="5" t="s">
        <v>104</v>
      </c>
      <c r="I10" s="5" t="n">
        <v>5</v>
      </c>
      <c r="J10" s="5" t="n">
        <v>702</v>
      </c>
      <c r="K10" s="5" t="n">
        <v>98000</v>
      </c>
      <c r="L10" s="5" t="s">
        <v>105</v>
      </c>
      <c r="M10" s="9" t="s">
        <v>63</v>
      </c>
      <c r="N10" s="5" t="s">
        <v>106</v>
      </c>
    </row>
    <row r="11" customFormat="false" ht="15" hidden="false" customHeight="false" outlineLevel="0" collapsed="false">
      <c r="A11" s="5" t="s">
        <v>107</v>
      </c>
      <c r="B11" s="5" t="s">
        <v>108</v>
      </c>
      <c r="C11" s="5" t="n">
        <v>31</v>
      </c>
      <c r="D11" s="5" t="s">
        <v>109</v>
      </c>
      <c r="E11" s="5" t="s">
        <v>110</v>
      </c>
      <c r="F11" s="5" t="s">
        <v>68</v>
      </c>
      <c r="G11" s="5" t="n">
        <v>35</v>
      </c>
      <c r="H11" s="5" t="s">
        <v>111</v>
      </c>
      <c r="I11" s="5" t="n">
        <v>0</v>
      </c>
      <c r="J11" s="5" t="n">
        <v>810</v>
      </c>
      <c r="K11" s="5" t="n">
        <v>52000</v>
      </c>
      <c r="L11" s="5" t="s">
        <v>112</v>
      </c>
      <c r="M11" s="8" t="s">
        <v>46</v>
      </c>
      <c r="N11" s="5" t="s">
        <v>113</v>
      </c>
    </row>
    <row r="12" customFormat="false" ht="15" hidden="false" customHeight="false" outlineLevel="0" collapsed="false">
      <c r="A12" s="5" t="s">
        <v>114</v>
      </c>
      <c r="B12" s="5" t="s">
        <v>115</v>
      </c>
      <c r="C12" s="5" t="n">
        <v>39</v>
      </c>
      <c r="D12" s="5" t="s">
        <v>116</v>
      </c>
      <c r="E12" s="5" t="s">
        <v>117</v>
      </c>
      <c r="F12" s="5" t="s">
        <v>60</v>
      </c>
      <c r="G12" s="5" t="n">
        <v>48</v>
      </c>
      <c r="H12" s="5" t="s">
        <v>118</v>
      </c>
      <c r="I12" s="5" t="n">
        <v>8</v>
      </c>
      <c r="J12" s="5" t="n">
        <v>761</v>
      </c>
      <c r="K12" s="5" t="n">
        <v>201000</v>
      </c>
      <c r="L12" s="5" t="s">
        <v>119</v>
      </c>
      <c r="M12" s="9" t="s">
        <v>63</v>
      </c>
      <c r="N12" s="5" t="s">
        <v>120</v>
      </c>
    </row>
    <row r="13" customFormat="false" ht="15" hidden="false" customHeight="false" outlineLevel="0" collapsed="false">
      <c r="A13" s="5" t="s">
        <v>121</v>
      </c>
      <c r="B13" s="5" t="s">
        <v>122</v>
      </c>
      <c r="C13" s="5" t="n">
        <v>27</v>
      </c>
      <c r="D13" s="5" t="s">
        <v>41</v>
      </c>
      <c r="E13" s="5" t="s">
        <v>123</v>
      </c>
      <c r="F13" s="5" t="s">
        <v>52</v>
      </c>
      <c r="G13" s="5" t="n">
        <v>16</v>
      </c>
      <c r="H13" s="5" t="s">
        <v>69</v>
      </c>
      <c r="I13" s="5" t="n">
        <v>1</v>
      </c>
      <c r="J13" s="5" t="n">
        <v>774</v>
      </c>
      <c r="K13" s="5" t="n">
        <v>45000</v>
      </c>
      <c r="L13" s="5" t="s">
        <v>124</v>
      </c>
      <c r="M13" s="8" t="s">
        <v>46</v>
      </c>
      <c r="N13" s="5" t="s">
        <v>125</v>
      </c>
    </row>
    <row r="14" customFormat="false" ht="15" hidden="false" customHeight="false" outlineLevel="0" collapsed="false">
      <c r="A14" s="5" t="s">
        <v>126</v>
      </c>
      <c r="B14" s="5" t="s">
        <v>127</v>
      </c>
      <c r="C14" s="5" t="n">
        <v>48</v>
      </c>
      <c r="D14" s="5" t="s">
        <v>128</v>
      </c>
      <c r="E14" s="5" t="s">
        <v>129</v>
      </c>
      <c r="F14" s="5" t="s">
        <v>43</v>
      </c>
      <c r="G14" s="5" t="n">
        <v>22</v>
      </c>
      <c r="H14" s="5" t="s">
        <v>130</v>
      </c>
      <c r="I14" s="5" t="n">
        <v>3</v>
      </c>
      <c r="J14" s="5" t="n">
        <v>694</v>
      </c>
      <c r="K14" s="5" t="n">
        <v>67000</v>
      </c>
      <c r="L14" s="5" t="s">
        <v>131</v>
      </c>
      <c r="M14" s="10" t="s">
        <v>92</v>
      </c>
      <c r="N14" s="5" t="s">
        <v>132</v>
      </c>
    </row>
    <row r="15" customFormat="false" ht="15" hidden="false" customHeight="false" outlineLevel="0" collapsed="false">
      <c r="A15" s="5" t="s">
        <v>133</v>
      </c>
      <c r="B15" s="5" t="s">
        <v>134</v>
      </c>
      <c r="C15" s="5" t="n">
        <v>36</v>
      </c>
      <c r="D15" s="5" t="s">
        <v>50</v>
      </c>
      <c r="E15" s="5" t="s">
        <v>135</v>
      </c>
      <c r="F15" s="5" t="s">
        <v>43</v>
      </c>
      <c r="G15" s="5" t="n">
        <v>19</v>
      </c>
      <c r="H15" s="5" t="s">
        <v>136</v>
      </c>
      <c r="I15" s="5" t="n">
        <v>4</v>
      </c>
      <c r="J15" s="5" t="n">
        <v>749</v>
      </c>
      <c r="K15" s="5" t="n">
        <v>83000</v>
      </c>
      <c r="L15" s="5" t="s">
        <v>137</v>
      </c>
      <c r="M15" s="9" t="s">
        <v>63</v>
      </c>
      <c r="N15" s="5" t="s">
        <v>138</v>
      </c>
    </row>
    <row r="16" customFormat="false" ht="15" hidden="false" customHeight="false" outlineLevel="0" collapsed="false">
      <c r="A16" s="5" t="s">
        <v>139</v>
      </c>
      <c r="B16" s="5" t="s">
        <v>140</v>
      </c>
      <c r="C16" s="5" t="n">
        <v>41</v>
      </c>
      <c r="D16" s="5" t="s">
        <v>141</v>
      </c>
      <c r="E16" s="5" t="s">
        <v>142</v>
      </c>
      <c r="F16" s="5" t="s">
        <v>52</v>
      </c>
      <c r="G16" s="5" t="n">
        <v>28</v>
      </c>
      <c r="H16" s="5" t="s">
        <v>83</v>
      </c>
      <c r="I16" s="5" t="n">
        <v>6</v>
      </c>
      <c r="J16" s="5" t="n">
        <v>788</v>
      </c>
      <c r="K16" s="5" t="n">
        <v>265000</v>
      </c>
      <c r="L16" s="5" t="s">
        <v>143</v>
      </c>
      <c r="M16" s="8" t="s">
        <v>46</v>
      </c>
      <c r="N16" s="5" t="s">
        <v>144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9"/>
    <col collapsed="false" customWidth="true" hidden="false" outlineLevel="0" max="11" min="11" style="0" width="13"/>
    <col collapsed="false" customWidth="true" hidden="false" outlineLevel="0" max="12" min="12" style="0" width="9"/>
    <col collapsed="false" customWidth="true" hidden="false" outlineLevel="0" max="13" min="13" style="0" width="52"/>
  </cols>
  <sheetData>
    <row r="1" customFormat="false" ht="35.05" hidden="false" customHeight="false" outlineLevel="0" collapsed="false">
      <c r="A1" s="7" t="s">
        <v>145</v>
      </c>
      <c r="B1" s="7" t="s">
        <v>146</v>
      </c>
      <c r="C1" s="7" t="s">
        <v>28</v>
      </c>
      <c r="D1" s="7" t="s">
        <v>147</v>
      </c>
      <c r="E1" s="7" t="s">
        <v>148</v>
      </c>
      <c r="F1" s="7" t="s">
        <v>149</v>
      </c>
      <c r="G1" s="7" t="s">
        <v>150</v>
      </c>
      <c r="H1" s="7" t="s">
        <v>151</v>
      </c>
      <c r="I1" s="7" t="s">
        <v>152</v>
      </c>
      <c r="J1" s="7" t="s">
        <v>153</v>
      </c>
      <c r="K1" s="7" t="s">
        <v>154</v>
      </c>
      <c r="L1" s="7" t="s">
        <v>155</v>
      </c>
      <c r="M1" s="7" t="s">
        <v>156</v>
      </c>
    </row>
    <row r="2" customFormat="false" ht="15" hidden="false" customHeight="false" outlineLevel="0" collapsed="false">
      <c r="A2" s="5" t="s">
        <v>157</v>
      </c>
      <c r="B2" s="5" t="s">
        <v>158</v>
      </c>
      <c r="C2" s="5" t="s">
        <v>41</v>
      </c>
      <c r="D2" s="5" t="s">
        <v>159</v>
      </c>
      <c r="E2" s="5" t="s">
        <v>104</v>
      </c>
      <c r="F2" s="5" t="n">
        <v>45</v>
      </c>
      <c r="G2" s="5" t="n">
        <v>88</v>
      </c>
      <c r="H2" s="5" t="s">
        <v>160</v>
      </c>
      <c r="I2" s="5" t="s">
        <v>161</v>
      </c>
      <c r="J2" s="5" t="n">
        <v>12</v>
      </c>
      <c r="K2" s="5" t="s">
        <v>162</v>
      </c>
      <c r="L2" s="8" t="s">
        <v>163</v>
      </c>
      <c r="M2" s="5" t="s">
        <v>164</v>
      </c>
    </row>
    <row r="3" customFormat="false" ht="15" hidden="false" customHeight="false" outlineLevel="0" collapsed="false">
      <c r="A3" s="5" t="s">
        <v>165</v>
      </c>
      <c r="B3" s="5" t="s">
        <v>166</v>
      </c>
      <c r="C3" s="5" t="s">
        <v>50</v>
      </c>
      <c r="D3" s="5" t="s">
        <v>167</v>
      </c>
      <c r="E3" s="5" t="s">
        <v>53</v>
      </c>
      <c r="F3" s="5" t="n">
        <v>8</v>
      </c>
      <c r="G3" s="5" t="n">
        <v>72</v>
      </c>
      <c r="H3" s="5" t="s">
        <v>168</v>
      </c>
      <c r="I3" s="5" t="s">
        <v>169</v>
      </c>
      <c r="J3" s="5" t="n">
        <v>5</v>
      </c>
      <c r="K3" s="5" t="s">
        <v>170</v>
      </c>
      <c r="L3" s="9" t="s">
        <v>171</v>
      </c>
      <c r="M3" s="5" t="s">
        <v>172</v>
      </c>
    </row>
    <row r="4" customFormat="false" ht="15" hidden="false" customHeight="false" outlineLevel="0" collapsed="false">
      <c r="A4" s="5" t="s">
        <v>173</v>
      </c>
      <c r="B4" s="5" t="s">
        <v>174</v>
      </c>
      <c r="C4" s="5" t="s">
        <v>58</v>
      </c>
      <c r="D4" s="5" t="s">
        <v>175</v>
      </c>
      <c r="E4" s="5" t="s">
        <v>176</v>
      </c>
      <c r="F4" s="5" t="n">
        <v>120</v>
      </c>
      <c r="G4" s="5" t="n">
        <v>91</v>
      </c>
      <c r="H4" s="5" t="s">
        <v>177</v>
      </c>
      <c r="I4" s="5" t="s">
        <v>178</v>
      </c>
      <c r="J4" s="5" t="n">
        <v>21</v>
      </c>
      <c r="K4" s="5" t="s">
        <v>179</v>
      </c>
      <c r="L4" s="8" t="s">
        <v>163</v>
      </c>
      <c r="M4" s="5" t="s">
        <v>180</v>
      </c>
    </row>
    <row r="5" customFormat="false" ht="15" hidden="false" customHeight="false" outlineLevel="0" collapsed="false">
      <c r="A5" s="5" t="s">
        <v>181</v>
      </c>
      <c r="B5" s="5" t="s">
        <v>182</v>
      </c>
      <c r="C5" s="5" t="s">
        <v>41</v>
      </c>
      <c r="D5" s="5" t="s">
        <v>183</v>
      </c>
      <c r="E5" s="5" t="s">
        <v>184</v>
      </c>
      <c r="F5" s="5" t="n">
        <v>25</v>
      </c>
      <c r="G5" s="5" t="n">
        <v>85</v>
      </c>
      <c r="H5" s="5" t="s">
        <v>185</v>
      </c>
      <c r="I5" s="5" t="s">
        <v>186</v>
      </c>
      <c r="J5" s="5" t="n">
        <v>9</v>
      </c>
      <c r="K5" s="5" t="s">
        <v>187</v>
      </c>
      <c r="L5" s="8" t="s">
        <v>163</v>
      </c>
      <c r="M5" s="5" t="s">
        <v>188</v>
      </c>
    </row>
    <row r="6" customFormat="false" ht="15" hidden="false" customHeight="false" outlineLevel="0" collapsed="false">
      <c r="A6" s="5" t="s">
        <v>189</v>
      </c>
      <c r="B6" s="5" t="s">
        <v>190</v>
      </c>
      <c r="C6" s="5" t="s">
        <v>116</v>
      </c>
      <c r="D6" s="5" t="s">
        <v>191</v>
      </c>
      <c r="E6" s="5" t="s">
        <v>98</v>
      </c>
      <c r="F6" s="5" t="n">
        <v>1.2</v>
      </c>
      <c r="G6" s="5" t="n">
        <v>48</v>
      </c>
      <c r="H6" s="5" t="s">
        <v>192</v>
      </c>
      <c r="I6" s="5" t="s">
        <v>169</v>
      </c>
      <c r="J6" s="5" t="n">
        <v>2</v>
      </c>
      <c r="K6" s="5" t="s">
        <v>193</v>
      </c>
      <c r="L6" s="10" t="s">
        <v>194</v>
      </c>
      <c r="M6" s="5" t="s">
        <v>195</v>
      </c>
    </row>
    <row r="7" customFormat="false" ht="15" hidden="false" customHeight="false" outlineLevel="0" collapsed="false">
      <c r="A7" s="5" t="s">
        <v>196</v>
      </c>
      <c r="B7" s="5" t="s">
        <v>197</v>
      </c>
      <c r="C7" s="5" t="s">
        <v>128</v>
      </c>
      <c r="D7" s="5" t="s">
        <v>198</v>
      </c>
      <c r="E7" s="5" t="s">
        <v>104</v>
      </c>
      <c r="F7" s="5" t="n">
        <v>18</v>
      </c>
      <c r="G7" s="5" t="n">
        <v>76</v>
      </c>
      <c r="H7" s="5" t="s">
        <v>168</v>
      </c>
      <c r="I7" s="5" t="s">
        <v>199</v>
      </c>
      <c r="J7" s="5" t="n">
        <v>7</v>
      </c>
      <c r="K7" s="5" t="s">
        <v>200</v>
      </c>
      <c r="L7" s="9" t="s">
        <v>171</v>
      </c>
      <c r="M7" s="5" t="s">
        <v>201</v>
      </c>
    </row>
    <row r="8" customFormat="false" ht="15" hidden="false" customHeight="false" outlineLevel="0" collapsed="false">
      <c r="A8" s="5" t="s">
        <v>202</v>
      </c>
      <c r="B8" s="5" t="s">
        <v>203</v>
      </c>
      <c r="C8" s="5" t="s">
        <v>204</v>
      </c>
      <c r="D8" s="5" t="s">
        <v>159</v>
      </c>
      <c r="E8" s="5" t="s">
        <v>205</v>
      </c>
      <c r="F8" s="5" t="n">
        <v>60</v>
      </c>
      <c r="G8" s="5" t="n">
        <v>82</v>
      </c>
      <c r="H8" s="5" t="s">
        <v>160</v>
      </c>
      <c r="I8" s="5" t="s">
        <v>161</v>
      </c>
      <c r="J8" s="5" t="n">
        <v>15</v>
      </c>
      <c r="K8" s="5" t="s">
        <v>206</v>
      </c>
      <c r="L8" s="8" t="s">
        <v>163</v>
      </c>
      <c r="M8" s="5" t="s">
        <v>207</v>
      </c>
    </row>
    <row r="9" customFormat="false" ht="15" hidden="false" customHeight="false" outlineLevel="0" collapsed="false">
      <c r="A9" s="5" t="s">
        <v>208</v>
      </c>
      <c r="B9" s="5" t="s">
        <v>209</v>
      </c>
      <c r="C9" s="5" t="s">
        <v>50</v>
      </c>
      <c r="D9" s="5" t="s">
        <v>167</v>
      </c>
      <c r="E9" s="5" t="s">
        <v>130</v>
      </c>
      <c r="F9" s="5" t="n">
        <v>3.5</v>
      </c>
      <c r="G9" s="5" t="n">
        <v>55</v>
      </c>
      <c r="H9" s="5" t="s">
        <v>210</v>
      </c>
      <c r="I9" s="5" t="s">
        <v>178</v>
      </c>
      <c r="J9" s="5" t="n">
        <v>4</v>
      </c>
      <c r="K9" s="5" t="s">
        <v>211</v>
      </c>
      <c r="L9" s="9" t="s">
        <v>171</v>
      </c>
      <c r="M9" s="5" t="s">
        <v>212</v>
      </c>
    </row>
    <row r="10" customFormat="false" ht="15" hidden="false" customHeight="false" outlineLevel="0" collapsed="false">
      <c r="A10" s="5" t="s">
        <v>213</v>
      </c>
      <c r="B10" s="5" t="s">
        <v>214</v>
      </c>
      <c r="C10" s="5" t="s">
        <v>109</v>
      </c>
      <c r="D10" s="5" t="s">
        <v>215</v>
      </c>
      <c r="E10" s="5" t="s">
        <v>104</v>
      </c>
      <c r="F10" s="5" t="n">
        <v>35</v>
      </c>
      <c r="G10" s="5" t="n">
        <v>69</v>
      </c>
      <c r="H10" s="5" t="s">
        <v>168</v>
      </c>
      <c r="I10" s="5" t="s">
        <v>186</v>
      </c>
      <c r="J10" s="5" t="n">
        <v>11</v>
      </c>
      <c r="K10" s="5" t="s">
        <v>216</v>
      </c>
      <c r="L10" s="9" t="s">
        <v>171</v>
      </c>
      <c r="M10" s="5" t="s">
        <v>217</v>
      </c>
    </row>
    <row r="11" customFormat="false" ht="15" hidden="false" customHeight="false" outlineLevel="0" collapsed="false">
      <c r="A11" s="5" t="s">
        <v>218</v>
      </c>
      <c r="B11" s="5" t="s">
        <v>219</v>
      </c>
      <c r="C11" s="5" t="s">
        <v>41</v>
      </c>
      <c r="D11" s="5" t="s">
        <v>220</v>
      </c>
      <c r="E11" s="5" t="s">
        <v>53</v>
      </c>
      <c r="F11" s="5" t="n">
        <v>6</v>
      </c>
      <c r="G11" s="5" t="n">
        <v>79</v>
      </c>
      <c r="H11" s="5" t="s">
        <v>185</v>
      </c>
      <c r="I11" s="5" t="s">
        <v>199</v>
      </c>
      <c r="J11" s="5" t="n">
        <v>6</v>
      </c>
      <c r="K11" s="5" t="s">
        <v>221</v>
      </c>
      <c r="L11" s="8" t="s">
        <v>163</v>
      </c>
      <c r="M11" s="5" t="s">
        <v>222</v>
      </c>
    </row>
    <row r="12" customFormat="false" ht="15" hidden="false" customHeight="false" outlineLevel="0" collapsed="false">
      <c r="A12" s="5" t="s">
        <v>223</v>
      </c>
      <c r="B12" s="5" t="s">
        <v>224</v>
      </c>
      <c r="C12" s="5" t="s">
        <v>74</v>
      </c>
      <c r="D12" s="5" t="s">
        <v>175</v>
      </c>
      <c r="E12" s="5" t="s">
        <v>225</v>
      </c>
      <c r="F12" s="5" t="n">
        <v>14</v>
      </c>
      <c r="G12" s="5" t="n">
        <v>42</v>
      </c>
      <c r="H12" s="5" t="s">
        <v>192</v>
      </c>
      <c r="I12" s="5" t="s">
        <v>169</v>
      </c>
      <c r="J12" s="5" t="n">
        <v>3</v>
      </c>
      <c r="K12" s="5" t="s">
        <v>226</v>
      </c>
      <c r="L12" s="10" t="s">
        <v>194</v>
      </c>
      <c r="M12" s="5" t="s">
        <v>227</v>
      </c>
    </row>
    <row r="13" customFormat="false" ht="15" hidden="false" customHeight="false" outlineLevel="0" collapsed="false">
      <c r="A13" s="5" t="s">
        <v>228</v>
      </c>
      <c r="B13" s="5" t="s">
        <v>229</v>
      </c>
      <c r="C13" s="5" t="s">
        <v>81</v>
      </c>
      <c r="D13" s="5" t="s">
        <v>191</v>
      </c>
      <c r="E13" s="5" t="s">
        <v>230</v>
      </c>
      <c r="F13" s="5" t="n">
        <v>20</v>
      </c>
      <c r="G13" s="5" t="n">
        <v>66</v>
      </c>
      <c r="H13" s="5" t="s">
        <v>210</v>
      </c>
      <c r="I13" s="5" t="s">
        <v>161</v>
      </c>
      <c r="J13" s="5" t="n">
        <v>8</v>
      </c>
      <c r="K13" s="5" t="s">
        <v>231</v>
      </c>
      <c r="L13" s="9" t="s">
        <v>171</v>
      </c>
      <c r="M13" s="5" t="s">
        <v>232</v>
      </c>
    </row>
    <row r="14" customFormat="false" ht="15" hidden="false" customHeight="false" outlineLevel="0" collapsed="false">
      <c r="A14" s="5" t="s">
        <v>233</v>
      </c>
      <c r="B14" s="5" t="s">
        <v>234</v>
      </c>
      <c r="C14" s="5" t="s">
        <v>50</v>
      </c>
      <c r="D14" s="5" t="s">
        <v>159</v>
      </c>
      <c r="E14" s="5" t="s">
        <v>176</v>
      </c>
      <c r="F14" s="5" t="n">
        <v>200</v>
      </c>
      <c r="G14" s="5" t="n">
        <v>93</v>
      </c>
      <c r="H14" s="5" t="s">
        <v>177</v>
      </c>
      <c r="I14" s="5" t="s">
        <v>178</v>
      </c>
      <c r="J14" s="5" t="n">
        <v>26</v>
      </c>
      <c r="K14" s="5" t="s">
        <v>235</v>
      </c>
      <c r="L14" s="8" t="s">
        <v>163</v>
      </c>
      <c r="M14" s="5" t="s">
        <v>236</v>
      </c>
    </row>
    <row r="15" customFormat="false" ht="15" hidden="false" customHeight="false" outlineLevel="0" collapsed="false">
      <c r="A15" s="5" t="s">
        <v>237</v>
      </c>
      <c r="B15" s="5" t="s">
        <v>238</v>
      </c>
      <c r="C15" s="5" t="s">
        <v>41</v>
      </c>
      <c r="D15" s="5" t="s">
        <v>167</v>
      </c>
      <c r="E15" s="5" t="s">
        <v>69</v>
      </c>
      <c r="F15" s="5" t="n">
        <v>0.5</v>
      </c>
      <c r="G15" s="5" t="n">
        <v>38</v>
      </c>
      <c r="H15" s="5" t="s">
        <v>192</v>
      </c>
      <c r="I15" s="5" t="s">
        <v>186</v>
      </c>
      <c r="J15" s="5" t="n">
        <v>1</v>
      </c>
      <c r="K15" s="5" t="s">
        <v>239</v>
      </c>
      <c r="L15" s="10" t="s">
        <v>194</v>
      </c>
      <c r="M15" s="5" t="s">
        <v>240</v>
      </c>
    </row>
    <row r="16" customFormat="false" ht="15" hidden="false" customHeight="false" outlineLevel="0" collapsed="false">
      <c r="A16" s="5" t="s">
        <v>241</v>
      </c>
      <c r="B16" s="5" t="s">
        <v>242</v>
      </c>
      <c r="C16" s="5" t="s">
        <v>96</v>
      </c>
      <c r="D16" s="5" t="s">
        <v>198</v>
      </c>
      <c r="E16" s="5" t="s">
        <v>104</v>
      </c>
      <c r="F16" s="5" t="n">
        <v>75</v>
      </c>
      <c r="G16" s="5" t="n">
        <v>87</v>
      </c>
      <c r="H16" s="5" t="s">
        <v>185</v>
      </c>
      <c r="I16" s="5" t="s">
        <v>199</v>
      </c>
      <c r="J16" s="5" t="n">
        <v>14</v>
      </c>
      <c r="K16" s="5" t="s">
        <v>243</v>
      </c>
      <c r="L16" s="8" t="s">
        <v>163</v>
      </c>
      <c r="M16" s="5" t="s">
        <v>244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22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9" min="8" style="0" width="13"/>
    <col collapsed="false" customWidth="true" hidden="false" outlineLevel="0" max="11" min="10" style="0" width="16"/>
    <col collapsed="false" customWidth="true" hidden="false" outlineLevel="0" max="12" min="12" style="0" width="9"/>
    <col collapsed="false" customWidth="true" hidden="false" outlineLevel="0" max="13" min="13" style="0" width="56"/>
  </cols>
  <sheetData>
    <row r="1" customFormat="false" ht="35.05" hidden="false" customHeight="false" outlineLevel="0" collapsed="false">
      <c r="A1" s="7" t="s">
        <v>245</v>
      </c>
      <c r="B1" s="7" t="s">
        <v>246</v>
      </c>
      <c r="C1" s="7" t="s">
        <v>247</v>
      </c>
      <c r="D1" s="7" t="s">
        <v>248</v>
      </c>
      <c r="E1" s="7" t="s">
        <v>249</v>
      </c>
      <c r="F1" s="7" t="s">
        <v>250</v>
      </c>
      <c r="G1" s="7" t="s">
        <v>251</v>
      </c>
      <c r="H1" s="7" t="s">
        <v>252</v>
      </c>
      <c r="I1" s="7" t="s">
        <v>253</v>
      </c>
      <c r="J1" s="7" t="s">
        <v>254</v>
      </c>
      <c r="K1" s="7" t="s">
        <v>151</v>
      </c>
      <c r="L1" s="7" t="s">
        <v>255</v>
      </c>
      <c r="M1" s="7" t="s">
        <v>256</v>
      </c>
    </row>
    <row r="2" customFormat="false" ht="15" hidden="false" customHeight="false" outlineLevel="0" collapsed="false">
      <c r="A2" s="5" t="s">
        <v>257</v>
      </c>
      <c r="B2" s="5" t="s">
        <v>158</v>
      </c>
      <c r="C2" s="5" t="s">
        <v>104</v>
      </c>
      <c r="D2" s="5" t="n">
        <v>45</v>
      </c>
      <c r="E2" s="5" t="n">
        <v>14.5</v>
      </c>
      <c r="F2" s="5" t="n">
        <v>36</v>
      </c>
      <c r="G2" s="5" t="n">
        <v>1.5</v>
      </c>
      <c r="H2" s="5" t="s">
        <v>258</v>
      </c>
      <c r="I2" s="5" t="s">
        <v>259</v>
      </c>
      <c r="J2" s="5" t="s">
        <v>161</v>
      </c>
      <c r="K2" s="5" t="s">
        <v>260</v>
      </c>
      <c r="L2" s="9" t="s">
        <v>261</v>
      </c>
      <c r="M2" s="5" t="s">
        <v>262</v>
      </c>
    </row>
    <row r="3" customFormat="false" ht="15" hidden="false" customHeight="false" outlineLevel="0" collapsed="false">
      <c r="A3" s="5" t="s">
        <v>263</v>
      </c>
      <c r="B3" s="5" t="s">
        <v>182</v>
      </c>
      <c r="C3" s="5" t="s">
        <v>184</v>
      </c>
      <c r="D3" s="5" t="n">
        <v>25</v>
      </c>
      <c r="E3" s="5" t="n">
        <v>11.75</v>
      </c>
      <c r="F3" s="5" t="n">
        <v>60</v>
      </c>
      <c r="G3" s="5" t="n">
        <v>1</v>
      </c>
      <c r="H3" s="5" t="s">
        <v>264</v>
      </c>
      <c r="I3" s="5" t="s">
        <v>265</v>
      </c>
      <c r="J3" s="5" t="s">
        <v>186</v>
      </c>
      <c r="K3" s="5" t="s">
        <v>260</v>
      </c>
      <c r="L3" s="9" t="s">
        <v>261</v>
      </c>
      <c r="M3" s="5" t="s">
        <v>266</v>
      </c>
    </row>
    <row r="4" customFormat="false" ht="15" hidden="false" customHeight="false" outlineLevel="0" collapsed="false">
      <c r="A4" s="5" t="s">
        <v>267</v>
      </c>
      <c r="B4" s="5" t="s">
        <v>219</v>
      </c>
      <c r="C4" s="5" t="s">
        <v>53</v>
      </c>
      <c r="D4" s="5" t="n">
        <v>6</v>
      </c>
      <c r="E4" s="5" t="n">
        <v>13.25</v>
      </c>
      <c r="F4" s="5" t="n">
        <v>48</v>
      </c>
      <c r="G4" s="5" t="n">
        <v>1.25</v>
      </c>
      <c r="H4" s="5" t="s">
        <v>268</v>
      </c>
      <c r="I4" s="5" t="s">
        <v>269</v>
      </c>
      <c r="J4" s="5" t="s">
        <v>199</v>
      </c>
      <c r="K4" s="5" t="s">
        <v>270</v>
      </c>
      <c r="L4" s="9" t="s">
        <v>261</v>
      </c>
      <c r="M4" s="5" t="s">
        <v>271</v>
      </c>
    </row>
    <row r="5" customFormat="false" ht="15" hidden="false" customHeight="false" outlineLevel="0" collapsed="false">
      <c r="A5" s="5" t="s">
        <v>272</v>
      </c>
      <c r="B5" s="5" t="s">
        <v>242</v>
      </c>
      <c r="C5" s="5" t="s">
        <v>104</v>
      </c>
      <c r="D5" s="5" t="n">
        <v>75</v>
      </c>
      <c r="E5" s="5" t="n">
        <v>13.9</v>
      </c>
      <c r="F5" s="5" t="n">
        <v>48</v>
      </c>
      <c r="G5" s="5" t="n">
        <v>1</v>
      </c>
      <c r="H5" s="5" t="s">
        <v>112</v>
      </c>
      <c r="I5" s="5" t="s">
        <v>273</v>
      </c>
      <c r="J5" s="5" t="s">
        <v>199</v>
      </c>
      <c r="K5" s="5" t="s">
        <v>274</v>
      </c>
      <c r="L5" s="9" t="s">
        <v>261</v>
      </c>
      <c r="M5" s="5" t="s">
        <v>275</v>
      </c>
    </row>
    <row r="6" customFormat="false" ht="15" hidden="false" customHeight="false" outlineLevel="0" collapsed="false">
      <c r="A6" s="5" t="s">
        <v>276</v>
      </c>
      <c r="B6" s="5" t="s">
        <v>174</v>
      </c>
      <c r="C6" s="5" t="s">
        <v>176</v>
      </c>
      <c r="D6" s="5" t="n">
        <v>110</v>
      </c>
      <c r="E6" s="5" t="n">
        <v>10.5</v>
      </c>
      <c r="F6" s="5" t="n">
        <v>120</v>
      </c>
      <c r="G6" s="5" t="n">
        <v>0.75</v>
      </c>
      <c r="H6" s="5" t="s">
        <v>99</v>
      </c>
      <c r="I6" s="5" t="s">
        <v>193</v>
      </c>
      <c r="J6" s="5" t="s">
        <v>178</v>
      </c>
      <c r="K6" s="5" t="s">
        <v>277</v>
      </c>
      <c r="L6" s="9" t="s">
        <v>261</v>
      </c>
      <c r="M6" s="5" t="s">
        <v>278</v>
      </c>
    </row>
    <row r="7" customFormat="false" ht="15" hidden="false" customHeight="false" outlineLevel="0" collapsed="false">
      <c r="A7" s="5" t="s">
        <v>279</v>
      </c>
      <c r="B7" s="5" t="s">
        <v>280</v>
      </c>
      <c r="C7" s="5" t="s">
        <v>205</v>
      </c>
      <c r="D7" s="5" t="n">
        <v>90</v>
      </c>
      <c r="E7" s="5" t="n">
        <v>14.25</v>
      </c>
      <c r="F7" s="5" t="n">
        <v>24</v>
      </c>
      <c r="G7" s="5" t="n">
        <v>1.5</v>
      </c>
      <c r="H7" s="5" t="s">
        <v>281</v>
      </c>
      <c r="I7" s="5" t="s">
        <v>112</v>
      </c>
      <c r="J7" s="5" t="s">
        <v>161</v>
      </c>
      <c r="K7" s="5" t="s">
        <v>282</v>
      </c>
      <c r="L7" s="8" t="s">
        <v>283</v>
      </c>
      <c r="M7" s="5" t="s">
        <v>284</v>
      </c>
    </row>
    <row r="8" customFormat="false" ht="15" hidden="false" customHeight="false" outlineLevel="0" collapsed="false">
      <c r="A8" s="5" t="s">
        <v>285</v>
      </c>
      <c r="B8" s="5" t="s">
        <v>108</v>
      </c>
      <c r="C8" s="5" t="s">
        <v>184</v>
      </c>
      <c r="D8" s="5" t="n">
        <v>30</v>
      </c>
      <c r="E8" s="5" t="n">
        <v>11.5</v>
      </c>
      <c r="F8" s="5" t="n">
        <v>72</v>
      </c>
      <c r="G8" s="5" t="n">
        <v>1</v>
      </c>
      <c r="H8" s="5" t="s">
        <v>70</v>
      </c>
      <c r="I8" s="5" t="s">
        <v>286</v>
      </c>
      <c r="J8" s="5" t="s">
        <v>186</v>
      </c>
      <c r="K8" s="5" t="s">
        <v>260</v>
      </c>
      <c r="L8" s="9" t="s">
        <v>261</v>
      </c>
      <c r="M8" s="5" t="s">
        <v>287</v>
      </c>
    </row>
    <row r="9" customFormat="false" ht="15" hidden="false" customHeight="false" outlineLevel="0" collapsed="false">
      <c r="A9" s="5" t="s">
        <v>288</v>
      </c>
      <c r="B9" s="5" t="s">
        <v>289</v>
      </c>
      <c r="C9" s="5" t="s">
        <v>130</v>
      </c>
      <c r="D9" s="5" t="n">
        <v>12</v>
      </c>
      <c r="E9" s="5" t="n">
        <v>12</v>
      </c>
      <c r="F9" s="5" t="n">
        <v>12</v>
      </c>
      <c r="G9" s="5" t="n">
        <v>0.5</v>
      </c>
      <c r="H9" s="5" t="s">
        <v>290</v>
      </c>
      <c r="I9" s="5" t="s">
        <v>54</v>
      </c>
      <c r="J9" s="5" t="s">
        <v>169</v>
      </c>
      <c r="K9" s="5" t="s">
        <v>282</v>
      </c>
      <c r="L9" s="10" t="s">
        <v>291</v>
      </c>
      <c r="M9" s="5" t="s">
        <v>292</v>
      </c>
    </row>
    <row r="10" customFormat="false" ht="15" hidden="false" customHeight="false" outlineLevel="0" collapsed="false">
      <c r="A10" s="5" t="s">
        <v>293</v>
      </c>
      <c r="B10" s="5" t="s">
        <v>234</v>
      </c>
      <c r="C10" s="5" t="s">
        <v>176</v>
      </c>
      <c r="D10" s="5" t="n">
        <v>200</v>
      </c>
      <c r="E10" s="5" t="n">
        <v>10.25</v>
      </c>
      <c r="F10" s="5" t="n">
        <v>144</v>
      </c>
      <c r="G10" s="5" t="n">
        <v>0.75</v>
      </c>
      <c r="H10" s="5" t="s">
        <v>294</v>
      </c>
      <c r="I10" s="5" t="s">
        <v>179</v>
      </c>
      <c r="J10" s="5" t="s">
        <v>178</v>
      </c>
      <c r="K10" s="5" t="s">
        <v>277</v>
      </c>
      <c r="L10" s="9" t="s">
        <v>261</v>
      </c>
      <c r="M10" s="5" t="s">
        <v>295</v>
      </c>
    </row>
    <row r="11" customFormat="false" ht="15" hidden="false" customHeight="false" outlineLevel="0" collapsed="false">
      <c r="A11" s="5" t="s">
        <v>296</v>
      </c>
      <c r="B11" s="5" t="s">
        <v>134</v>
      </c>
      <c r="C11" s="5" t="s">
        <v>297</v>
      </c>
      <c r="D11" s="5" t="n">
        <v>5</v>
      </c>
      <c r="E11" s="5" t="n">
        <v>13.5</v>
      </c>
      <c r="F11" s="5" t="n">
        <v>36</v>
      </c>
      <c r="G11" s="5" t="n">
        <v>1.25</v>
      </c>
      <c r="H11" s="5" t="s">
        <v>298</v>
      </c>
      <c r="I11" s="5" t="s">
        <v>299</v>
      </c>
      <c r="J11" s="5" t="s">
        <v>169</v>
      </c>
      <c r="K11" s="5" t="s">
        <v>300</v>
      </c>
      <c r="L11" s="9" t="s">
        <v>261</v>
      </c>
      <c r="M11" s="5" t="s">
        <v>301</v>
      </c>
    </row>
    <row r="12" customFormat="false" ht="15" hidden="false" customHeight="false" outlineLevel="0" collapsed="false">
      <c r="A12" s="5" t="s">
        <v>302</v>
      </c>
      <c r="B12" s="5" t="s">
        <v>80</v>
      </c>
      <c r="C12" s="5" t="s">
        <v>176</v>
      </c>
      <c r="D12" s="5" t="n">
        <v>55</v>
      </c>
      <c r="E12" s="5" t="n">
        <v>10.75</v>
      </c>
      <c r="F12" s="5" t="n">
        <v>96</v>
      </c>
      <c r="G12" s="5" t="n">
        <v>0.75</v>
      </c>
      <c r="H12" s="5" t="s">
        <v>124</v>
      </c>
      <c r="I12" s="5" t="s">
        <v>162</v>
      </c>
      <c r="J12" s="5" t="s">
        <v>161</v>
      </c>
      <c r="K12" s="5" t="s">
        <v>270</v>
      </c>
      <c r="L12" s="9" t="s">
        <v>261</v>
      </c>
      <c r="M12" s="5" t="s">
        <v>303</v>
      </c>
    </row>
    <row r="13" customFormat="false" ht="15" hidden="false" customHeight="false" outlineLevel="0" collapsed="false">
      <c r="A13" s="5" t="s">
        <v>304</v>
      </c>
      <c r="B13" s="5" t="s">
        <v>203</v>
      </c>
      <c r="C13" s="5" t="s">
        <v>205</v>
      </c>
      <c r="D13" s="5" t="n">
        <v>60</v>
      </c>
      <c r="E13" s="5" t="n">
        <v>14</v>
      </c>
      <c r="F13" s="5" t="n">
        <v>24</v>
      </c>
      <c r="G13" s="5" t="n">
        <v>1.5</v>
      </c>
      <c r="H13" s="5" t="s">
        <v>305</v>
      </c>
      <c r="I13" s="5" t="s">
        <v>187</v>
      </c>
      <c r="J13" s="5" t="s">
        <v>161</v>
      </c>
      <c r="K13" s="5" t="s">
        <v>300</v>
      </c>
      <c r="L13" s="9" t="s">
        <v>261</v>
      </c>
      <c r="M13" s="5" t="s">
        <v>306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6"/>
    <col collapsed="false" customWidth="true" hidden="false" outlineLevel="0" max="9" min="9" style="0" width="10"/>
    <col collapsed="false" customWidth="true" hidden="false" outlineLevel="0" max="10" min="10" style="0" width="62"/>
  </cols>
  <sheetData>
    <row r="1" customFormat="false" ht="35.05" hidden="false" customHeight="false" outlineLevel="0" collapsed="false">
      <c r="A1" s="7" t="s">
        <v>307</v>
      </c>
      <c r="B1" s="7" t="s">
        <v>246</v>
      </c>
      <c r="C1" s="7" t="s">
        <v>254</v>
      </c>
      <c r="D1" s="7" t="s">
        <v>308</v>
      </c>
      <c r="E1" s="7" t="s">
        <v>309</v>
      </c>
      <c r="F1" s="7" t="s">
        <v>310</v>
      </c>
      <c r="G1" s="7" t="s">
        <v>311</v>
      </c>
      <c r="H1" s="7" t="s">
        <v>312</v>
      </c>
      <c r="I1" s="7" t="s">
        <v>313</v>
      </c>
      <c r="J1" s="7" t="s">
        <v>314</v>
      </c>
    </row>
    <row r="2" customFormat="false" ht="15" hidden="false" customHeight="false" outlineLevel="0" collapsed="false">
      <c r="A2" s="5" t="s">
        <v>315</v>
      </c>
      <c r="B2" s="5" t="s">
        <v>158</v>
      </c>
      <c r="C2" s="5" t="s">
        <v>161</v>
      </c>
      <c r="D2" s="5" t="s">
        <v>316</v>
      </c>
      <c r="E2" s="5" t="s">
        <v>317</v>
      </c>
      <c r="F2" s="5" t="s">
        <v>318</v>
      </c>
      <c r="G2" s="5" t="s">
        <v>269</v>
      </c>
      <c r="H2" s="9" t="s">
        <v>319</v>
      </c>
      <c r="I2" s="5" t="n">
        <v>6</v>
      </c>
      <c r="J2" s="5" t="s">
        <v>320</v>
      </c>
    </row>
    <row r="3" customFormat="false" ht="15" hidden="false" customHeight="false" outlineLevel="0" collapsed="false">
      <c r="A3" s="5" t="s">
        <v>321</v>
      </c>
      <c r="B3" s="5" t="s">
        <v>166</v>
      </c>
      <c r="C3" s="5" t="s">
        <v>169</v>
      </c>
      <c r="D3" s="5" t="s">
        <v>322</v>
      </c>
      <c r="E3" s="5" t="s">
        <v>323</v>
      </c>
      <c r="F3" s="5" t="s">
        <v>324</v>
      </c>
      <c r="G3" s="5" t="s">
        <v>325</v>
      </c>
      <c r="H3" s="8" t="s">
        <v>326</v>
      </c>
      <c r="I3" s="5" t="n">
        <v>7</v>
      </c>
      <c r="J3" s="5" t="s">
        <v>327</v>
      </c>
    </row>
    <row r="4" customFormat="false" ht="15" hidden="false" customHeight="false" outlineLevel="0" collapsed="false">
      <c r="A4" s="5" t="s">
        <v>328</v>
      </c>
      <c r="B4" s="5" t="s">
        <v>174</v>
      </c>
      <c r="C4" s="5" t="s">
        <v>178</v>
      </c>
      <c r="D4" s="5" t="s">
        <v>329</v>
      </c>
      <c r="E4" s="5" t="s">
        <v>330</v>
      </c>
      <c r="F4" s="5" t="s">
        <v>298</v>
      </c>
      <c r="G4" s="5" t="s">
        <v>286</v>
      </c>
      <c r="H4" s="8" t="s">
        <v>326</v>
      </c>
      <c r="I4" s="5" t="n">
        <v>9</v>
      </c>
      <c r="J4" s="5" t="s">
        <v>331</v>
      </c>
    </row>
    <row r="5" customFormat="false" ht="15" hidden="false" customHeight="false" outlineLevel="0" collapsed="false">
      <c r="A5" s="5" t="s">
        <v>332</v>
      </c>
      <c r="B5" s="5" t="s">
        <v>182</v>
      </c>
      <c r="C5" s="5" t="s">
        <v>186</v>
      </c>
      <c r="D5" s="5" t="s">
        <v>333</v>
      </c>
      <c r="E5" s="5" t="s">
        <v>317</v>
      </c>
      <c r="F5" s="5" t="s">
        <v>305</v>
      </c>
      <c r="G5" s="5" t="s">
        <v>273</v>
      </c>
      <c r="H5" s="10" t="s">
        <v>334</v>
      </c>
      <c r="I5" s="5" t="n">
        <v>8</v>
      </c>
      <c r="J5" s="5" t="s">
        <v>335</v>
      </c>
    </row>
    <row r="6" customFormat="false" ht="15" hidden="false" customHeight="false" outlineLevel="0" collapsed="false">
      <c r="A6" s="5" t="s">
        <v>336</v>
      </c>
      <c r="B6" s="5" t="s">
        <v>190</v>
      </c>
      <c r="C6" s="5" t="s">
        <v>169</v>
      </c>
      <c r="D6" s="5" t="s">
        <v>316</v>
      </c>
      <c r="E6" s="5" t="s">
        <v>337</v>
      </c>
      <c r="F6" s="5" t="s">
        <v>268</v>
      </c>
      <c r="G6" s="5" t="s">
        <v>259</v>
      </c>
      <c r="H6" s="10" t="s">
        <v>334</v>
      </c>
      <c r="I6" s="5" t="n">
        <v>10</v>
      </c>
      <c r="J6" s="5" t="s">
        <v>338</v>
      </c>
    </row>
    <row r="7" customFormat="false" ht="15" hidden="false" customHeight="false" outlineLevel="0" collapsed="false">
      <c r="A7" s="5" t="s">
        <v>339</v>
      </c>
      <c r="B7" s="5" t="s">
        <v>197</v>
      </c>
      <c r="C7" s="5" t="s">
        <v>199</v>
      </c>
      <c r="D7" s="5" t="s">
        <v>329</v>
      </c>
      <c r="E7" s="5" t="s">
        <v>340</v>
      </c>
      <c r="F7" s="5" t="s">
        <v>324</v>
      </c>
      <c r="G7" s="5" t="s">
        <v>325</v>
      </c>
      <c r="H7" s="8" t="s">
        <v>326</v>
      </c>
      <c r="I7" s="5" t="n">
        <v>7</v>
      </c>
      <c r="J7" s="5" t="s">
        <v>341</v>
      </c>
    </row>
    <row r="8" customFormat="false" ht="15" hidden="false" customHeight="false" outlineLevel="0" collapsed="false">
      <c r="A8" s="5" t="s">
        <v>342</v>
      </c>
      <c r="B8" s="5" t="s">
        <v>87</v>
      </c>
      <c r="C8" s="5" t="s">
        <v>186</v>
      </c>
      <c r="D8" s="5" t="s">
        <v>316</v>
      </c>
      <c r="E8" s="5" t="s">
        <v>343</v>
      </c>
      <c r="F8" s="5" t="s">
        <v>294</v>
      </c>
      <c r="G8" s="5" t="s">
        <v>239</v>
      </c>
      <c r="H8" s="8" t="s">
        <v>326</v>
      </c>
      <c r="I8" s="5" t="n">
        <v>11</v>
      </c>
      <c r="J8" s="5" t="s">
        <v>344</v>
      </c>
    </row>
    <row r="9" customFormat="false" ht="15" hidden="false" customHeight="false" outlineLevel="0" collapsed="false">
      <c r="A9" s="5" t="s">
        <v>345</v>
      </c>
      <c r="B9" s="5" t="s">
        <v>242</v>
      </c>
      <c r="C9" s="5" t="s">
        <v>199</v>
      </c>
      <c r="D9" s="5" t="s">
        <v>333</v>
      </c>
      <c r="E9" s="5" t="s">
        <v>274</v>
      </c>
      <c r="F9" s="5" t="s">
        <v>318</v>
      </c>
      <c r="G9" s="5" t="s">
        <v>325</v>
      </c>
      <c r="H9" s="9" t="s">
        <v>319</v>
      </c>
      <c r="I9" s="5" t="n">
        <v>6</v>
      </c>
      <c r="J9" s="5" t="s">
        <v>346</v>
      </c>
    </row>
    <row r="10" customFormat="false" ht="15" hidden="false" customHeight="false" outlineLevel="0" collapsed="false">
      <c r="A10" s="5" t="s">
        <v>347</v>
      </c>
      <c r="B10" s="5" t="s">
        <v>209</v>
      </c>
      <c r="C10" s="5" t="s">
        <v>178</v>
      </c>
      <c r="D10" s="5" t="s">
        <v>322</v>
      </c>
      <c r="E10" s="5" t="s">
        <v>348</v>
      </c>
      <c r="F10" s="5" t="s">
        <v>305</v>
      </c>
      <c r="G10" s="5" t="s">
        <v>273</v>
      </c>
      <c r="H10" s="9" t="s">
        <v>319</v>
      </c>
      <c r="I10" s="5" t="n">
        <v>8</v>
      </c>
      <c r="J10" s="5" t="s">
        <v>349</v>
      </c>
    </row>
    <row r="11" customFormat="false" ht="15" hidden="false" customHeight="false" outlineLevel="0" collapsed="false">
      <c r="A11" s="5" t="s">
        <v>350</v>
      </c>
      <c r="B11" s="5" t="s">
        <v>49</v>
      </c>
      <c r="C11" s="5" t="s">
        <v>169</v>
      </c>
      <c r="D11" s="5" t="s">
        <v>316</v>
      </c>
      <c r="E11" s="5" t="s">
        <v>351</v>
      </c>
      <c r="F11" s="5" t="s">
        <v>324</v>
      </c>
      <c r="G11" s="5" t="s">
        <v>162</v>
      </c>
      <c r="H11" s="8" t="s">
        <v>326</v>
      </c>
      <c r="I11" s="5" t="n">
        <v>7</v>
      </c>
      <c r="J11" s="5" t="s">
        <v>352</v>
      </c>
    </row>
    <row r="12" customFormat="false" ht="15" hidden="false" customHeight="false" outlineLevel="0" collapsed="false">
      <c r="A12" s="5" t="s">
        <v>353</v>
      </c>
      <c r="B12" s="5" t="s">
        <v>214</v>
      </c>
      <c r="C12" s="5" t="s">
        <v>186</v>
      </c>
      <c r="D12" s="5" t="s">
        <v>333</v>
      </c>
      <c r="E12" s="5" t="s">
        <v>354</v>
      </c>
      <c r="F12" s="5" t="s">
        <v>298</v>
      </c>
      <c r="G12" s="5" t="s">
        <v>269</v>
      </c>
      <c r="H12" s="10" t="s">
        <v>334</v>
      </c>
      <c r="I12" s="5" t="n">
        <v>9</v>
      </c>
      <c r="J12" s="5" t="s">
        <v>355</v>
      </c>
    </row>
    <row r="13" customFormat="false" ht="15" hidden="false" customHeight="false" outlineLevel="0" collapsed="false">
      <c r="A13" s="5" t="s">
        <v>356</v>
      </c>
      <c r="B13" s="5" t="s">
        <v>219</v>
      </c>
      <c r="C13" s="5" t="s">
        <v>199</v>
      </c>
      <c r="D13" s="5" t="s">
        <v>316</v>
      </c>
      <c r="E13" s="5" t="s">
        <v>357</v>
      </c>
      <c r="F13" s="5" t="s">
        <v>318</v>
      </c>
      <c r="G13" s="5" t="s">
        <v>325</v>
      </c>
      <c r="H13" s="8" t="s">
        <v>326</v>
      </c>
      <c r="I13" s="5" t="n">
        <v>6</v>
      </c>
      <c r="J13" s="5" t="s">
        <v>358</v>
      </c>
    </row>
    <row r="14" customFormat="false" ht="15" hidden="false" customHeight="false" outlineLevel="0" collapsed="false">
      <c r="A14" s="5" t="s">
        <v>359</v>
      </c>
      <c r="B14" s="5" t="s">
        <v>229</v>
      </c>
      <c r="C14" s="5" t="s">
        <v>161</v>
      </c>
      <c r="D14" s="5" t="s">
        <v>322</v>
      </c>
      <c r="E14" s="5" t="s">
        <v>360</v>
      </c>
      <c r="F14" s="5" t="s">
        <v>305</v>
      </c>
      <c r="G14" s="5" t="s">
        <v>286</v>
      </c>
      <c r="H14" s="8" t="s">
        <v>326</v>
      </c>
      <c r="I14" s="5" t="n">
        <v>8</v>
      </c>
      <c r="J14" s="5" t="s">
        <v>361</v>
      </c>
    </row>
    <row r="15" customFormat="false" ht="15" hidden="false" customHeight="false" outlineLevel="0" collapsed="false">
      <c r="A15" s="5" t="s">
        <v>362</v>
      </c>
      <c r="B15" s="5" t="s">
        <v>234</v>
      </c>
      <c r="C15" s="5" t="s">
        <v>178</v>
      </c>
      <c r="D15" s="5" t="s">
        <v>333</v>
      </c>
      <c r="E15" s="5" t="s">
        <v>363</v>
      </c>
      <c r="F15" s="5" t="s">
        <v>324</v>
      </c>
      <c r="G15" s="5" t="s">
        <v>221</v>
      </c>
      <c r="H15" s="8" t="s">
        <v>326</v>
      </c>
      <c r="I15" s="5" t="n">
        <v>7</v>
      </c>
      <c r="J15" s="5" t="s">
        <v>364</v>
      </c>
    </row>
    <row r="16" customFormat="false" ht="15" hidden="false" customHeight="false" outlineLevel="0" collapsed="false">
      <c r="A16" s="5" t="s">
        <v>365</v>
      </c>
      <c r="B16" s="5" t="s">
        <v>238</v>
      </c>
      <c r="C16" s="5" t="s">
        <v>186</v>
      </c>
      <c r="D16" s="5" t="s">
        <v>366</v>
      </c>
      <c r="E16" s="5" t="s">
        <v>367</v>
      </c>
      <c r="F16" s="5" t="s">
        <v>268</v>
      </c>
      <c r="G16" s="5" t="s">
        <v>273</v>
      </c>
      <c r="H16" s="10" t="s">
        <v>334</v>
      </c>
      <c r="I16" s="5" t="n">
        <v>10</v>
      </c>
      <c r="J16" s="5" t="s">
        <v>368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24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52"/>
  </cols>
  <sheetData>
    <row r="1" customFormat="false" ht="23.85" hidden="false" customHeight="false" outlineLevel="0" collapsed="false">
      <c r="A1" s="7" t="s">
        <v>369</v>
      </c>
      <c r="B1" s="7" t="s">
        <v>370</v>
      </c>
      <c r="C1" s="7" t="s">
        <v>371</v>
      </c>
      <c r="D1" s="7" t="s">
        <v>247</v>
      </c>
      <c r="E1" s="7" t="s">
        <v>372</v>
      </c>
      <c r="F1" s="7" t="s">
        <v>373</v>
      </c>
      <c r="G1" s="7" t="s">
        <v>374</v>
      </c>
      <c r="H1" s="7" t="s">
        <v>375</v>
      </c>
      <c r="I1" s="7" t="s">
        <v>376</v>
      </c>
      <c r="J1" s="7" t="s">
        <v>377</v>
      </c>
      <c r="K1" s="7" t="s">
        <v>378</v>
      </c>
      <c r="L1" s="7" t="s">
        <v>38</v>
      </c>
    </row>
    <row r="2" customFormat="false" ht="15" hidden="false" customHeight="false" outlineLevel="0" collapsed="false">
      <c r="A2" s="5" t="s">
        <v>379</v>
      </c>
      <c r="B2" s="5" t="s">
        <v>161</v>
      </c>
      <c r="C2" s="5" t="s">
        <v>380</v>
      </c>
      <c r="D2" s="5" t="s">
        <v>104</v>
      </c>
      <c r="E2" s="11" t="n">
        <v>150</v>
      </c>
      <c r="F2" s="11" t="n">
        <v>168</v>
      </c>
      <c r="G2" s="12" t="n">
        <f aca="false">F2/E2</f>
        <v>1.12</v>
      </c>
      <c r="H2" s="5" t="n">
        <v>32</v>
      </c>
      <c r="I2" s="5" t="n">
        <v>9</v>
      </c>
      <c r="J2" s="12" t="n">
        <f aca="false">I2/H2</f>
        <v>0.28125</v>
      </c>
      <c r="K2" s="5" t="n">
        <f aca="false">ROUND(F2/I2,1)</f>
        <v>18.7</v>
      </c>
      <c r="L2" s="5" t="s">
        <v>381</v>
      </c>
    </row>
    <row r="3" customFormat="false" ht="15" hidden="false" customHeight="false" outlineLevel="0" collapsed="false">
      <c r="A3" s="5" t="s">
        <v>379</v>
      </c>
      <c r="B3" s="5" t="s">
        <v>169</v>
      </c>
      <c r="C3" s="5" t="s">
        <v>382</v>
      </c>
      <c r="D3" s="5" t="s">
        <v>53</v>
      </c>
      <c r="E3" s="11" t="n">
        <v>90</v>
      </c>
      <c r="F3" s="11" t="n">
        <v>76</v>
      </c>
      <c r="G3" s="12" t="n">
        <f aca="false">F3/E3</f>
        <v>0.844444444444444</v>
      </c>
      <c r="H3" s="5" t="n">
        <v>41</v>
      </c>
      <c r="I3" s="5" t="n">
        <v>11</v>
      </c>
      <c r="J3" s="12" t="n">
        <f aca="false">I3/H3</f>
        <v>0.268292682926829</v>
      </c>
      <c r="K3" s="5" t="n">
        <f aca="false">ROUND(F3/I3,1)</f>
        <v>6.9</v>
      </c>
      <c r="L3" s="5" t="s">
        <v>383</v>
      </c>
    </row>
    <row r="4" customFormat="false" ht="15" hidden="false" customHeight="false" outlineLevel="0" collapsed="false">
      <c r="A4" s="5" t="s">
        <v>379</v>
      </c>
      <c r="B4" s="5" t="s">
        <v>178</v>
      </c>
      <c r="C4" s="5" t="s">
        <v>58</v>
      </c>
      <c r="D4" s="5" t="s">
        <v>176</v>
      </c>
      <c r="E4" s="11" t="n">
        <v>200</v>
      </c>
      <c r="F4" s="11" t="n">
        <v>182</v>
      </c>
      <c r="G4" s="12" t="n">
        <f aca="false">F4/E4</f>
        <v>0.91</v>
      </c>
      <c r="H4" s="5" t="n">
        <v>14</v>
      </c>
      <c r="I4" s="5" t="n">
        <v>4</v>
      </c>
      <c r="J4" s="12" t="n">
        <f aca="false">I4/H4</f>
        <v>0.285714285714286</v>
      </c>
      <c r="K4" s="5" t="n">
        <f aca="false">ROUND(F4/I4,1)</f>
        <v>45.5</v>
      </c>
      <c r="L4" s="5" t="s">
        <v>384</v>
      </c>
    </row>
    <row r="5" customFormat="false" ht="15" hidden="false" customHeight="false" outlineLevel="0" collapsed="false">
      <c r="A5" s="5" t="s">
        <v>379</v>
      </c>
      <c r="B5" s="5" t="s">
        <v>186</v>
      </c>
      <c r="C5" s="5" t="s">
        <v>385</v>
      </c>
      <c r="D5" s="5" t="s">
        <v>386</v>
      </c>
      <c r="E5" s="11" t="n">
        <v>80</v>
      </c>
      <c r="F5" s="11" t="n">
        <v>94</v>
      </c>
      <c r="G5" s="12" t="n">
        <f aca="false">F5/E5</f>
        <v>1.175</v>
      </c>
      <c r="H5" s="5" t="n">
        <v>18</v>
      </c>
      <c r="I5" s="5" t="n">
        <v>7</v>
      </c>
      <c r="J5" s="12" t="n">
        <f aca="false">I5/H5</f>
        <v>0.388888888888889</v>
      </c>
      <c r="K5" s="5" t="n">
        <f aca="false">ROUND(F5/I5,1)</f>
        <v>13.4</v>
      </c>
      <c r="L5" s="5" t="s">
        <v>387</v>
      </c>
    </row>
    <row r="6" customFormat="false" ht="15" hidden="false" customHeight="false" outlineLevel="0" collapsed="false">
      <c r="A6" s="5" t="s">
        <v>379</v>
      </c>
      <c r="B6" s="5" t="s">
        <v>199</v>
      </c>
      <c r="C6" s="5" t="s">
        <v>128</v>
      </c>
      <c r="D6" s="5" t="s">
        <v>104</v>
      </c>
      <c r="E6" s="11" t="n">
        <v>110</v>
      </c>
      <c r="F6" s="11" t="n">
        <v>88</v>
      </c>
      <c r="G6" s="12" t="n">
        <f aca="false">F6/E6</f>
        <v>0.8</v>
      </c>
      <c r="H6" s="5" t="n">
        <v>26</v>
      </c>
      <c r="I6" s="5" t="n">
        <v>6</v>
      </c>
      <c r="J6" s="12" t="n">
        <f aca="false">I6/H6</f>
        <v>0.230769230769231</v>
      </c>
      <c r="K6" s="5" t="n">
        <f aca="false">ROUND(F6/I6,1)</f>
        <v>14.7</v>
      </c>
      <c r="L6" s="5" t="s">
        <v>388</v>
      </c>
    </row>
    <row r="7" customFormat="false" ht="15" hidden="false" customHeight="false" outlineLevel="0" collapsed="false">
      <c r="A7" s="5" t="s">
        <v>389</v>
      </c>
      <c r="B7" s="5" t="s">
        <v>161</v>
      </c>
      <c r="C7" s="5" t="s">
        <v>380</v>
      </c>
      <c r="D7" s="5" t="s">
        <v>104</v>
      </c>
      <c r="E7" s="11" t="n">
        <v>150</v>
      </c>
      <c r="F7" s="11" t="n">
        <v>142</v>
      </c>
      <c r="G7" s="12" t="n">
        <f aca="false">F7/E7</f>
        <v>0.946666666666667</v>
      </c>
      <c r="H7" s="5" t="n">
        <v>35</v>
      </c>
      <c r="I7" s="5" t="n">
        <v>8</v>
      </c>
      <c r="J7" s="12" t="n">
        <f aca="false">I7/H7</f>
        <v>0.228571428571429</v>
      </c>
      <c r="K7" s="5" t="n">
        <f aca="false">ROUND(F7/I7,1)</f>
        <v>17.8</v>
      </c>
      <c r="L7" s="5" t="s">
        <v>390</v>
      </c>
    </row>
    <row r="8" customFormat="false" ht="15" hidden="false" customHeight="false" outlineLevel="0" collapsed="false">
      <c r="A8" s="5" t="s">
        <v>389</v>
      </c>
      <c r="B8" s="5" t="s">
        <v>169</v>
      </c>
      <c r="C8" s="5" t="s">
        <v>382</v>
      </c>
      <c r="D8" s="5" t="s">
        <v>53</v>
      </c>
      <c r="E8" s="11" t="n">
        <v>90</v>
      </c>
      <c r="F8" s="11" t="n">
        <v>103</v>
      </c>
      <c r="G8" s="12" t="n">
        <f aca="false">F8/E8</f>
        <v>1.14444444444444</v>
      </c>
      <c r="H8" s="5" t="n">
        <v>44</v>
      </c>
      <c r="I8" s="5" t="n">
        <v>14</v>
      </c>
      <c r="J8" s="12" t="n">
        <f aca="false">I8/H8</f>
        <v>0.318181818181818</v>
      </c>
      <c r="K8" s="5" t="n">
        <f aca="false">ROUND(F8/I8,1)</f>
        <v>7.4</v>
      </c>
      <c r="L8" s="5" t="s">
        <v>391</v>
      </c>
    </row>
    <row r="9" customFormat="false" ht="15" hidden="false" customHeight="false" outlineLevel="0" collapsed="false">
      <c r="A9" s="5" t="s">
        <v>389</v>
      </c>
      <c r="B9" s="5" t="s">
        <v>178</v>
      </c>
      <c r="C9" s="5" t="s">
        <v>58</v>
      </c>
      <c r="D9" s="5" t="s">
        <v>176</v>
      </c>
      <c r="E9" s="11" t="n">
        <v>200</v>
      </c>
      <c r="F9" s="11" t="n">
        <v>235</v>
      </c>
      <c r="G9" s="12" t="n">
        <f aca="false">F9/E9</f>
        <v>1.175</v>
      </c>
      <c r="H9" s="5" t="n">
        <v>16</v>
      </c>
      <c r="I9" s="5" t="n">
        <v>5</v>
      </c>
      <c r="J9" s="12" t="n">
        <f aca="false">I9/H9</f>
        <v>0.3125</v>
      </c>
      <c r="K9" s="5" t="n">
        <f aca="false">ROUND(F9/I9,1)</f>
        <v>47</v>
      </c>
      <c r="L9" s="5" t="s">
        <v>392</v>
      </c>
    </row>
    <row r="10" customFormat="false" ht="15" hidden="false" customHeight="false" outlineLevel="0" collapsed="false">
      <c r="A10" s="5" t="s">
        <v>389</v>
      </c>
      <c r="B10" s="5" t="s">
        <v>186</v>
      </c>
      <c r="C10" s="5" t="s">
        <v>385</v>
      </c>
      <c r="D10" s="5" t="s">
        <v>386</v>
      </c>
      <c r="E10" s="11" t="n">
        <v>80</v>
      </c>
      <c r="F10" s="11" t="n">
        <v>71</v>
      </c>
      <c r="G10" s="12" t="n">
        <f aca="false">F10/E10</f>
        <v>0.8875</v>
      </c>
      <c r="H10" s="5" t="n">
        <v>20</v>
      </c>
      <c r="I10" s="5" t="n">
        <v>6</v>
      </c>
      <c r="J10" s="12" t="n">
        <f aca="false">I10/H10</f>
        <v>0.3</v>
      </c>
      <c r="K10" s="5" t="n">
        <f aca="false">ROUND(F10/I10,1)</f>
        <v>11.8</v>
      </c>
      <c r="L10" s="5" t="s">
        <v>393</v>
      </c>
    </row>
    <row r="11" customFormat="false" ht="15" hidden="false" customHeight="false" outlineLevel="0" collapsed="false">
      <c r="A11" s="5" t="s">
        <v>389</v>
      </c>
      <c r="B11" s="5" t="s">
        <v>199</v>
      </c>
      <c r="C11" s="5" t="s">
        <v>128</v>
      </c>
      <c r="D11" s="5" t="s">
        <v>104</v>
      </c>
      <c r="E11" s="11" t="n">
        <v>110</v>
      </c>
      <c r="F11" s="11" t="n">
        <v>121</v>
      </c>
      <c r="G11" s="12" t="n">
        <f aca="false">F11/E11</f>
        <v>1.1</v>
      </c>
      <c r="H11" s="5" t="n">
        <v>29</v>
      </c>
      <c r="I11" s="5" t="n">
        <v>9</v>
      </c>
      <c r="J11" s="12" t="n">
        <f aca="false">I11/H11</f>
        <v>0.310344827586207</v>
      </c>
      <c r="K11" s="5" t="n">
        <f aca="false">ROUND(F11/I11,1)</f>
        <v>13.4</v>
      </c>
      <c r="L11" s="5" t="s">
        <v>394</v>
      </c>
    </row>
    <row r="12" customFormat="false" ht="15" hidden="false" customHeight="false" outlineLevel="0" collapsed="false">
      <c r="A12" s="5" t="s">
        <v>379</v>
      </c>
      <c r="B12" s="5" t="s">
        <v>169</v>
      </c>
      <c r="C12" s="5" t="s">
        <v>382</v>
      </c>
      <c r="D12" s="5" t="s">
        <v>98</v>
      </c>
      <c r="E12" s="11" t="n">
        <v>40</v>
      </c>
      <c r="F12" s="11" t="n">
        <v>36</v>
      </c>
      <c r="G12" s="12" t="n">
        <f aca="false">F12/E12</f>
        <v>0.9</v>
      </c>
      <c r="H12" s="5" t="n">
        <v>55</v>
      </c>
      <c r="I12" s="5" t="n">
        <v>22</v>
      </c>
      <c r="J12" s="12" t="n">
        <f aca="false">I12/H12</f>
        <v>0.4</v>
      </c>
      <c r="K12" s="5" t="n">
        <f aca="false">ROUND(F12/I12,1)</f>
        <v>1.6</v>
      </c>
      <c r="L12" s="5" t="s">
        <v>395</v>
      </c>
    </row>
    <row r="13" customFormat="false" ht="15" hidden="false" customHeight="false" outlineLevel="0" collapsed="false">
      <c r="A13" s="5" t="s">
        <v>389</v>
      </c>
      <c r="B13" s="5" t="s">
        <v>169</v>
      </c>
      <c r="C13" s="5" t="s">
        <v>382</v>
      </c>
      <c r="D13" s="5" t="s">
        <v>98</v>
      </c>
      <c r="E13" s="11" t="n">
        <v>40</v>
      </c>
      <c r="F13" s="11" t="n">
        <v>47</v>
      </c>
      <c r="G13" s="12" t="n">
        <f aca="false">F13/E13</f>
        <v>1.175</v>
      </c>
      <c r="H13" s="5" t="n">
        <v>61</v>
      </c>
      <c r="I13" s="5" t="n">
        <v>28</v>
      </c>
      <c r="J13" s="12" t="n">
        <f aca="false">I13/H13</f>
        <v>0.459016393442623</v>
      </c>
      <c r="K13" s="5" t="n">
        <f aca="false">ROUND(F13/I13,1)</f>
        <v>1.7</v>
      </c>
      <c r="L13" s="5" t="s">
        <v>396</v>
      </c>
    </row>
    <row r="14" customFormat="false" ht="15" hidden="false" customHeight="false" outlineLevel="0" collapsed="false">
      <c r="A14" s="5" t="s">
        <v>379</v>
      </c>
      <c r="B14" s="5" t="s">
        <v>161</v>
      </c>
      <c r="C14" s="5" t="s">
        <v>380</v>
      </c>
      <c r="D14" s="5" t="s">
        <v>230</v>
      </c>
      <c r="E14" s="11" t="n">
        <v>60</v>
      </c>
      <c r="F14" s="11" t="n">
        <v>52</v>
      </c>
      <c r="G14" s="12" t="n">
        <f aca="false">F14/E14</f>
        <v>0.866666666666667</v>
      </c>
      <c r="H14" s="5" t="n">
        <v>12</v>
      </c>
      <c r="I14" s="5" t="n">
        <v>5</v>
      </c>
      <c r="J14" s="12" t="n">
        <f aca="false">I14/H14</f>
        <v>0.416666666666667</v>
      </c>
      <c r="K14" s="5" t="n">
        <f aca="false">ROUND(F14/I14,1)</f>
        <v>10.4</v>
      </c>
      <c r="L14" s="5" t="s">
        <v>397</v>
      </c>
    </row>
    <row r="15" customFormat="false" ht="15" hidden="false" customHeight="false" outlineLevel="0" collapsed="false">
      <c r="A15" s="5" t="s">
        <v>389</v>
      </c>
      <c r="B15" s="5" t="s">
        <v>161</v>
      </c>
      <c r="C15" s="5" t="s">
        <v>380</v>
      </c>
      <c r="D15" s="5" t="s">
        <v>230</v>
      </c>
      <c r="E15" s="11" t="n">
        <v>60</v>
      </c>
      <c r="F15" s="11" t="n">
        <v>69</v>
      </c>
      <c r="G15" s="12" t="n">
        <f aca="false">F15/E15</f>
        <v>1.15</v>
      </c>
      <c r="H15" s="5" t="n">
        <v>15</v>
      </c>
      <c r="I15" s="5" t="n">
        <v>7</v>
      </c>
      <c r="J15" s="12" t="n">
        <f aca="false">I15/H15</f>
        <v>0.466666666666667</v>
      </c>
      <c r="K15" s="5" t="n">
        <f aca="false">ROUND(F15/I15,1)</f>
        <v>9.9</v>
      </c>
      <c r="L15" s="5" t="s">
        <v>398</v>
      </c>
    </row>
    <row r="16" customFormat="false" ht="15" hidden="false" customHeight="false" outlineLevel="0" collapsed="false">
      <c r="A16" s="5" t="s">
        <v>389</v>
      </c>
      <c r="B16" s="5" t="s">
        <v>186</v>
      </c>
      <c r="C16" s="5" t="s">
        <v>385</v>
      </c>
      <c r="D16" s="5" t="s">
        <v>69</v>
      </c>
      <c r="E16" s="11" t="n">
        <v>25</v>
      </c>
      <c r="F16" s="11" t="n">
        <v>19</v>
      </c>
      <c r="G16" s="12" t="n">
        <f aca="false">F16/E16</f>
        <v>0.76</v>
      </c>
      <c r="H16" s="5" t="n">
        <v>80</v>
      </c>
      <c r="I16" s="5" t="n">
        <v>31</v>
      </c>
      <c r="J16" s="12" t="n">
        <f aca="false">I16/H16</f>
        <v>0.3875</v>
      </c>
      <c r="K16" s="5" t="n">
        <f aca="false">ROUND(F16/I16,1)</f>
        <v>0.6</v>
      </c>
      <c r="L16" s="5" t="s">
        <v>399</v>
      </c>
    </row>
    <row r="17" customFormat="false" ht="15" hidden="false" customHeight="false" outlineLevel="0" collapsed="false">
      <c r="D17" s="13" t="s">
        <v>400</v>
      </c>
      <c r="E17" s="14" t="n">
        <f aca="false">SUM(E2:E16)</f>
        <v>1485</v>
      </c>
      <c r="F17" s="14" t="n">
        <f aca="false">SUM(F2:F16)</f>
        <v>1503</v>
      </c>
      <c r="G17" s="15" t="n">
        <f aca="false">F17/E17</f>
        <v>1.01212121212121</v>
      </c>
      <c r="H17" s="13" t="n">
        <f aca="false">SUM(H2:H16)</f>
        <v>498</v>
      </c>
      <c r="I17" s="13" t="n">
        <f aca="false">SUM(I2:I16)</f>
        <v>172</v>
      </c>
      <c r="J17" s="15" t="n">
        <f aca="false">I17/H17</f>
        <v>0.345381526104418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2026-06-12T03:39:01Z</dcterms:created>
  <dc:creator>openpyxl</dc:creator>
  <dc:description/>
  <dc:language>en-US</dc:language>
  <cp:lastModifiedBy/>
  <dcterms:modified xsi:type="dcterms:W3CDTF">2026-06-12T03:39:01Z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